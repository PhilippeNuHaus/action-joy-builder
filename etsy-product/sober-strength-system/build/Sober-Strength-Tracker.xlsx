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ists" sheetId="2" state="hidden" r:id="rId2"/>
    <sheet name="Daily Check-In" sheetId="3" state="visible" r:id="rId3"/>
    <sheet name="Training Log" sheetId="4" state="visible" r:id="rId4"/>
    <sheet name="Dashboard"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9">
    <font>
      <name val="Calibri"/>
      <family val="2"/>
      <color theme="1"/>
      <sz val="11"/>
      <scheme val="minor"/>
    </font>
    <font>
      <name val="Arial"/>
      <b val="1"/>
      <color rgb="0012161C"/>
      <sz val="16"/>
    </font>
    <font>
      <name val="Arial"/>
      <color rgb="003D4552"/>
      <sz val="10"/>
    </font>
    <font>
      <name val="Arial"/>
      <b val="1"/>
      <color rgb="00C2410C"/>
      <sz val="9"/>
    </font>
    <font>
      <name val="Arial"/>
      <b val="1"/>
      <color rgb="00B91C1C"/>
      <sz val="9"/>
    </font>
    <font>
      <name val="Arial"/>
      <color rgb="006B7280"/>
      <sz val="8"/>
    </font>
    <font>
      <name val="Arial"/>
      <b val="1"/>
      <color rgb="0012161C"/>
      <sz val="10"/>
    </font>
    <font>
      <name val="Arial"/>
      <b val="1"/>
      <color rgb="00FFFFFF"/>
      <sz val="9"/>
    </font>
    <font>
      <name val="Arial"/>
      <b val="1"/>
      <sz val="9"/>
    </font>
  </fonts>
  <fills count="5">
    <fill>
      <patternFill/>
    </fill>
    <fill>
      <patternFill patternType="gray125"/>
    </fill>
    <fill>
      <patternFill patternType="solid">
        <fgColor rgb="00FFFFFF"/>
      </patternFill>
    </fill>
    <fill>
      <patternFill patternType="solid">
        <fgColor rgb="0012161C"/>
      </patternFill>
    </fill>
    <fill>
      <patternFill patternType="solid">
        <fgColor rgb="00F4F4F5"/>
      </patternFill>
    </fill>
  </fills>
  <borders count="2">
    <border>
      <left/>
      <right/>
      <top/>
      <bottom/>
      <diagonal/>
    </border>
    <border>
      <left style="thin">
        <color rgb="00D8DAE0"/>
      </left>
      <right style="thin">
        <color rgb="00D8DAE0"/>
      </right>
      <top style="thin">
        <color rgb="00D8DAE0"/>
      </top>
      <bottom style="thin">
        <color rgb="00D8DA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164" fontId="6" fillId="2" borderId="1" pivotButton="0" quotePrefix="0" xfId="0"/>
    <xf numFmtId="0" fontId="7" fillId="3" borderId="1" applyAlignment="1" pivotButton="0" quotePrefix="0" xfId="0">
      <alignment horizontal="left" vertical="center"/>
    </xf>
    <xf numFmtId="164" fontId="2" fillId="4" borderId="1" applyAlignment="1" pivotButton="0" quotePrefix="0" xfId="0">
      <alignment horizontal="center"/>
    </xf>
    <xf numFmtId="0" fontId="2" fillId="4" borderId="1" applyAlignment="1" pivotButton="0" quotePrefix="0" xfId="0">
      <alignment horizontal="center"/>
    </xf>
    <xf numFmtId="0" fontId="2" fillId="2" borderId="1" pivotButton="0" quotePrefix="0" xfId="0"/>
    <xf numFmtId="0" fontId="8" fillId="4" borderId="1" applyAlignment="1" pivotButton="0" quotePrefix="0" xfId="0">
      <alignment horizontal="center"/>
    </xf>
    <xf numFmtId="164" fontId="2" fillId="2" borderId="1" pivotButton="0" quotePrefix="0" xfId="0"/>
    <xf numFmtId="0" fontId="2" fillId="2" borderId="1" applyAlignment="1" pivotButton="0" quotePrefix="0" xfId="0">
      <alignment horizontal="center"/>
    </xf>
    <xf numFmtId="0" fontId="2" fillId="4" borderId="1" pivotButton="0" quotePrefix="0" xfId="0"/>
    <xf numFmtId="1" fontId="6" fillId="4" borderId="1" applyAlignment="1" pivotButton="0" quotePrefix="0" xfId="0">
      <alignment horizontal="center"/>
    </xf>
    <xf numFmtId="3" fontId="6" fillId="4" borderId="1" applyAlignment="1" pivotButton="0" quotePrefix="0" xfId="0">
      <alignment horizontal="center"/>
    </xf>
    <xf numFmtId="9" fontId="6" fillId="4" borderId="1" applyAlignment="1" pivotButton="0" quotePrefix="0" xfId="0">
      <alignment horizontal="center"/>
    </xf>
    <xf numFmtId="165" fontId="6" fillId="4" borderId="1" applyAlignment="1" pivotButton="0" quotePrefix="0" xfId="0">
      <alignment horizontal="center"/>
    </xf>
  </cellXfs>
  <cellStyles count="1">
    <cellStyle name="Normal" xfId="0" builtinId="0" hidden="0"/>
  </cellStyles>
  <dxfs count="3">
    <dxf>
      <font>
        <name val="Arial"/>
        <b val="1"/>
        <color rgb="0015803D"/>
        <sz val="9"/>
      </font>
      <fill>
        <patternFill patternType="solid">
          <fgColor rgb="00DCFCE7"/>
        </patternFill>
      </fill>
    </dxf>
    <dxf>
      <font>
        <name val="Arial"/>
        <b val="1"/>
        <color rgb="00B45309"/>
        <sz val="9"/>
      </font>
      <fill>
        <patternFill patternType="solid">
          <fgColor rgb="00FEF3C7"/>
        </patternFill>
      </fill>
    </dxf>
    <dxf>
      <font>
        <name val="Arial"/>
        <b val="1"/>
        <color rgb="00B91C1C"/>
        <sz val="9"/>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8"/>
  <sheetViews>
    <sheetView workbookViewId="0">
      <selection activeCell="A1" sqref="A1"/>
    </sheetView>
  </sheetViews>
  <sheetFormatPr baseColWidth="8" defaultRowHeight="15"/>
  <cols>
    <col width="3" customWidth="1" min="1" max="1"/>
    <col width="92" customWidth="1" min="2" max="2"/>
  </cols>
  <sheetData>
    <row r="1" ht="22" customHeight="1">
      <c r="B1" s="1" t="inlineStr">
        <is>
          <t>THE SOBER STRENGTH SYSTEM</t>
        </is>
      </c>
    </row>
    <row r="2">
      <c r="B2" s="2" t="inlineStr">
        <is>
          <t>Editable tracker — companion to the 12-week program PDF</t>
        </is>
      </c>
    </row>
    <row r="4">
      <c r="B4" s="2" t="inlineStr"/>
    </row>
    <row r="5">
      <c r="B5" s="3" t="inlineStr">
        <is>
          <t>HOW TO USE THIS FILE</t>
        </is>
      </c>
    </row>
    <row r="6">
      <c r="B6" s="2" t="inlineStr">
        <is>
          <t>1.  Open the 'Daily Check-In' tab and type your start date in cell B4. Everything else dates itself from there.</t>
        </is>
      </c>
    </row>
    <row r="7">
      <c r="B7" s="2" t="inlineStr">
        <is>
          <t>2.  Each morning, fill in the Sleep and Craving columns from the dropdowns. The Status column turns itself</t>
        </is>
      </c>
    </row>
    <row r="8">
      <c r="B8" s="2" t="inlineStr">
        <is>
          <t xml:space="preserve">     Green, Amber or Red and tells you which version of the session to run.</t>
        </is>
      </c>
    </row>
    <row r="9">
      <c r="B9" s="2" t="inlineStr">
        <is>
          <t>3.  After training, add your sets to the 'Training Log' tab. Estimated 1RM calculates automatically.</t>
        </is>
      </c>
    </row>
    <row r="10">
      <c r="B10" s="2" t="inlineStr">
        <is>
          <t>4.  The 'Dashboard' tab totals everything. You never type anything into it.</t>
        </is>
      </c>
    </row>
    <row r="11">
      <c r="B11" s="2" t="inlineStr"/>
    </row>
    <row r="12">
      <c r="B12" s="3" t="inlineStr">
        <is>
          <t>WHICH CELLS YOU TYPE IN</t>
        </is>
      </c>
    </row>
    <row r="13">
      <c r="B13" s="2" t="inlineStr">
        <is>
          <t>White cells with a border are for you. Grey cells are calculated — if you type over one you will break</t>
        </is>
      </c>
    </row>
    <row r="14">
      <c r="B14" s="2" t="inlineStr">
        <is>
          <t>its formula. If that happens, close the file without saving and reopen it.</t>
        </is>
      </c>
    </row>
    <row r="15">
      <c r="B15" s="2" t="inlineStr"/>
    </row>
    <row r="16">
      <c r="B16" s="3" t="inlineStr">
        <is>
          <t>OPENS IN</t>
        </is>
      </c>
    </row>
    <row r="17">
      <c r="B17" s="2" t="inlineStr">
        <is>
          <t>Microsoft Excel, Apple Numbers, Google Sheets (File &gt; Import &gt; Upload), and LibreOffice Calc, which is free.</t>
        </is>
      </c>
    </row>
    <row r="18">
      <c r="B18" s="2" t="inlineStr">
        <is>
          <t>Formulas are standard and work in all four. On Google Sheets, import as a new spreadsheet rather than</t>
        </is>
      </c>
    </row>
    <row r="19">
      <c r="B19" s="2" t="inlineStr">
        <is>
          <t>opening in preview mode, or the dropdowns will not appear.</t>
        </is>
      </c>
    </row>
    <row r="20">
      <c r="B20" s="2" t="inlineStr"/>
    </row>
    <row r="21">
      <c r="B21" s="4" t="inlineStr">
        <is>
          <t>IMPORTANT — PLEASE READ</t>
        </is>
      </c>
    </row>
    <row r="22">
      <c r="B22" s="2" t="inlineStr">
        <is>
          <t>Stopping alcohol suddenly can be medically dangerous if you drink heavily or daily, and in some cases</t>
        </is>
      </c>
    </row>
    <row r="23">
      <c r="B23" s="2" t="inlineStr">
        <is>
          <t>fatal. This is a training tracker, not a detox or treatment plan. Speak to a doctor before you stop</t>
        </is>
      </c>
    </row>
    <row r="24">
      <c r="B24" s="2" t="inlineStr">
        <is>
          <t>drinking. In the US, SAMHSA's National Helpline is 1-800-662-4357 — free, confidential, 24/7.</t>
        </is>
      </c>
    </row>
    <row r="25">
      <c r="B25" s="2" t="inlineStr"/>
    </row>
    <row r="26">
      <c r="B26" s="5" t="inlineStr">
        <is>
          <t>This file is for general educational purposes only and is not medical advice. It does not replace care from a</t>
        </is>
      </c>
    </row>
    <row r="27">
      <c r="B27" s="5" t="inlineStr">
        <is>
          <t>doctor, therapist or addiction professional. Consult a qualified healthcare professional before beginning any</t>
        </is>
      </c>
    </row>
    <row r="28">
      <c r="B28" s="5" t="inlineStr">
        <is>
          <t>exercise program or changing alcohol consumption. Personal use only — not for resale or redistribution.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Good</t>
        </is>
      </c>
      <c r="B1" t="inlineStr">
        <is>
          <t>Quiet</t>
        </is>
      </c>
      <c r="C1" t="inlineStr">
        <is>
          <t>Yes</t>
        </is>
      </c>
      <c r="D1" t="inlineStr">
        <is>
          <t>01 Anchor</t>
        </is>
      </c>
      <c r="E1" t="inlineStr">
        <is>
          <t>A</t>
        </is>
      </c>
    </row>
    <row r="2">
      <c r="A2" t="inlineStr">
        <is>
          <t>Broken</t>
        </is>
      </c>
      <c r="B2" t="inlineStr">
        <is>
          <t>Noticeable</t>
        </is>
      </c>
      <c r="C2" t="inlineStr">
        <is>
          <t>No</t>
        </is>
      </c>
      <c r="D2" t="inlineStr">
        <is>
          <t>02 Build</t>
        </is>
      </c>
      <c r="E2" t="inlineStr">
        <is>
          <t>B</t>
        </is>
      </c>
    </row>
    <row r="3">
      <c r="A3" t="inlineStr">
        <is>
          <t>Barely</t>
        </is>
      </c>
      <c r="B3" t="inlineStr">
        <is>
          <t>Loud</t>
        </is>
      </c>
      <c r="C3" t="inlineStr">
        <is>
          <t>Red Session</t>
        </is>
      </c>
      <c r="D3" t="inlineStr">
        <is>
          <t>03 Claim</t>
        </is>
      </c>
      <c r="E3" t="inlineStr">
        <is>
          <t>C</t>
        </is>
      </c>
    </row>
    <row r="4">
      <c r="E4" t="inlineStr">
        <is>
          <t>Upper A</t>
        </is>
      </c>
    </row>
    <row r="5">
      <c r="E5" t="inlineStr">
        <is>
          <t>Lower A</t>
        </is>
      </c>
    </row>
    <row r="6">
      <c r="E6" t="inlineStr">
        <is>
          <t>Upper B</t>
        </is>
      </c>
    </row>
    <row r="7">
      <c r="E7" t="inlineStr">
        <is>
          <t>Lower B</t>
        </is>
      </c>
    </row>
    <row r="8">
      <c r="E8" t="inlineStr">
        <is>
          <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6"/>
  <sheetViews>
    <sheetView workbookViewId="0">
      <pane ySplit="6" topLeftCell="A7" activePane="bottomLeft" state="frozen"/>
      <selection pane="bottomLeft" activeCell="A1" sqref="A1"/>
    </sheetView>
  </sheetViews>
  <sheetFormatPr baseColWidth="8" defaultRowHeight="15"/>
  <cols>
    <col width="12" customWidth="1" min="1" max="1"/>
    <col width="11" customWidth="1" min="2" max="2"/>
    <col width="13" customWidth="1" min="3" max="3"/>
    <col width="14" customWidth="1" min="4" max="4"/>
    <col width="12" customWidth="1" min="5" max="5"/>
    <col width="15" customWidth="1" min="6" max="6"/>
    <col width="46" customWidth="1" min="7" max="7"/>
  </cols>
  <sheetData>
    <row r="1">
      <c r="A1" s="1" t="inlineStr">
        <is>
          <t>DAILY CHECK-IN</t>
        </is>
      </c>
    </row>
    <row r="2">
      <c r="A2" s="2" t="inlineStr">
        <is>
          <t>Sixty seconds every morning. The Status column picks your session — see page 7 of the program.</t>
        </is>
      </c>
    </row>
    <row r="4">
      <c r="A4" s="6" t="inlineStr">
        <is>
          <t>Start date</t>
        </is>
      </c>
      <c r="B4" s="7">
        <f>TODAY()</f>
        <v/>
      </c>
      <c r="C4" s="5" t="inlineStr">
        <is>
          <t>← type your day 1 here</t>
        </is>
      </c>
    </row>
    <row r="6" ht="20" customHeight="1">
      <c r="A6" s="8" t="inlineStr">
        <is>
          <t>Date</t>
        </is>
      </c>
      <c r="B6" s="8" t="inlineStr">
        <is>
          <t>Sober day</t>
        </is>
      </c>
      <c r="C6" s="8" t="inlineStr">
        <is>
          <t>Sleep</t>
        </is>
      </c>
      <c r="D6" s="8" t="inlineStr">
        <is>
          <t>Craving</t>
        </is>
      </c>
      <c r="E6" s="8" t="inlineStr">
        <is>
          <t>Status</t>
        </is>
      </c>
      <c r="F6" s="8" t="inlineStr">
        <is>
          <t>Session done</t>
        </is>
      </c>
      <c r="G6" s="8" t="inlineStr">
        <is>
          <t>Notes</t>
        </is>
      </c>
    </row>
    <row r="7">
      <c r="A7" s="9">
        <f>$B$4+0</f>
        <v/>
      </c>
      <c r="B7" s="10">
        <f>A7-$B$4+1</f>
        <v/>
      </c>
      <c r="C7" s="11" t="n"/>
      <c r="D7" s="11" t="n"/>
      <c r="E7" s="12">
        <f>IF(OR(C7="",D7=""),"",IF(OR(C7="Barely",D7="Loud"),"RED",IF(OR(C7="Broken",D7="Noticeable"),"AMBER","GREEN")))</f>
        <v/>
      </c>
      <c r="F7" s="11" t="n"/>
      <c r="G7" s="11" t="n"/>
    </row>
    <row r="8">
      <c r="A8" s="9">
        <f>$B$4+1</f>
        <v/>
      </c>
      <c r="B8" s="10">
        <f>A8-$B$4+1</f>
        <v/>
      </c>
      <c r="C8" s="11" t="n"/>
      <c r="D8" s="11" t="n"/>
      <c r="E8" s="12">
        <f>IF(OR(C8="",D8=""),"",IF(OR(C8="Barely",D8="Loud"),"RED",IF(OR(C8="Broken",D8="Noticeable"),"AMBER","GREEN")))</f>
        <v/>
      </c>
      <c r="F8" s="11" t="n"/>
      <c r="G8" s="11" t="n"/>
    </row>
    <row r="9">
      <c r="A9" s="9">
        <f>$B$4+2</f>
        <v/>
      </c>
      <c r="B9" s="10">
        <f>A9-$B$4+1</f>
        <v/>
      </c>
      <c r="C9" s="11" t="n"/>
      <c r="D9" s="11" t="n"/>
      <c r="E9" s="12">
        <f>IF(OR(C9="",D9=""),"",IF(OR(C9="Barely",D9="Loud"),"RED",IF(OR(C9="Broken",D9="Noticeable"),"AMBER","GREEN")))</f>
        <v/>
      </c>
      <c r="F9" s="11" t="n"/>
      <c r="G9" s="11" t="n"/>
    </row>
    <row r="10">
      <c r="A10" s="9">
        <f>$B$4+3</f>
        <v/>
      </c>
      <c r="B10" s="10">
        <f>A10-$B$4+1</f>
        <v/>
      </c>
      <c r="C10" s="11" t="n"/>
      <c r="D10" s="11" t="n"/>
      <c r="E10" s="12">
        <f>IF(OR(C10="",D10=""),"",IF(OR(C10="Barely",D10="Loud"),"RED",IF(OR(C10="Broken",D10="Noticeable"),"AMBER","GREEN")))</f>
        <v/>
      </c>
      <c r="F10" s="11" t="n"/>
      <c r="G10" s="11" t="n"/>
    </row>
    <row r="11">
      <c r="A11" s="9">
        <f>$B$4+4</f>
        <v/>
      </c>
      <c r="B11" s="10">
        <f>A11-$B$4+1</f>
        <v/>
      </c>
      <c r="C11" s="11" t="n"/>
      <c r="D11" s="11" t="n"/>
      <c r="E11" s="12">
        <f>IF(OR(C11="",D11=""),"",IF(OR(C11="Barely",D11="Loud"),"RED",IF(OR(C11="Broken",D11="Noticeable"),"AMBER","GREEN")))</f>
        <v/>
      </c>
      <c r="F11" s="11" t="n"/>
      <c r="G11" s="11" t="n"/>
    </row>
    <row r="12">
      <c r="A12" s="9">
        <f>$B$4+5</f>
        <v/>
      </c>
      <c r="B12" s="10">
        <f>A12-$B$4+1</f>
        <v/>
      </c>
      <c r="C12" s="11" t="n"/>
      <c r="D12" s="11" t="n"/>
      <c r="E12" s="12">
        <f>IF(OR(C12="",D12=""),"",IF(OR(C12="Barely",D12="Loud"),"RED",IF(OR(C12="Broken",D12="Noticeable"),"AMBER","GREEN")))</f>
        <v/>
      </c>
      <c r="F12" s="11" t="n"/>
      <c r="G12" s="11" t="n"/>
    </row>
    <row r="13">
      <c r="A13" s="9">
        <f>$B$4+6</f>
        <v/>
      </c>
      <c r="B13" s="10">
        <f>A13-$B$4+1</f>
        <v/>
      </c>
      <c r="C13" s="11" t="n"/>
      <c r="D13" s="11" t="n"/>
      <c r="E13" s="12">
        <f>IF(OR(C13="",D13=""),"",IF(OR(C13="Barely",D13="Loud"),"RED",IF(OR(C13="Broken",D13="Noticeable"),"AMBER","GREEN")))</f>
        <v/>
      </c>
      <c r="F13" s="11" t="n"/>
      <c r="G13" s="11" t="n"/>
    </row>
    <row r="14">
      <c r="A14" s="9">
        <f>$B$4+7</f>
        <v/>
      </c>
      <c r="B14" s="10">
        <f>A14-$B$4+1</f>
        <v/>
      </c>
      <c r="C14" s="11" t="n"/>
      <c r="D14" s="11" t="n"/>
      <c r="E14" s="12">
        <f>IF(OR(C14="",D14=""),"",IF(OR(C14="Barely",D14="Loud"),"RED",IF(OR(C14="Broken",D14="Noticeable"),"AMBER","GREEN")))</f>
        <v/>
      </c>
      <c r="F14" s="11" t="n"/>
      <c r="G14" s="11" t="n"/>
    </row>
    <row r="15">
      <c r="A15" s="9">
        <f>$B$4+8</f>
        <v/>
      </c>
      <c r="B15" s="10">
        <f>A15-$B$4+1</f>
        <v/>
      </c>
      <c r="C15" s="11" t="n"/>
      <c r="D15" s="11" t="n"/>
      <c r="E15" s="12">
        <f>IF(OR(C15="",D15=""),"",IF(OR(C15="Barely",D15="Loud"),"RED",IF(OR(C15="Broken",D15="Noticeable"),"AMBER","GREEN")))</f>
        <v/>
      </c>
      <c r="F15" s="11" t="n"/>
      <c r="G15" s="11" t="n"/>
    </row>
    <row r="16">
      <c r="A16" s="9">
        <f>$B$4+9</f>
        <v/>
      </c>
      <c r="B16" s="10">
        <f>A16-$B$4+1</f>
        <v/>
      </c>
      <c r="C16" s="11" t="n"/>
      <c r="D16" s="11" t="n"/>
      <c r="E16" s="12">
        <f>IF(OR(C16="",D16=""),"",IF(OR(C16="Barely",D16="Loud"),"RED",IF(OR(C16="Broken",D16="Noticeable"),"AMBER","GREEN")))</f>
        <v/>
      </c>
      <c r="F16" s="11" t="n"/>
      <c r="G16" s="11" t="n"/>
    </row>
    <row r="17">
      <c r="A17" s="9">
        <f>$B$4+10</f>
        <v/>
      </c>
      <c r="B17" s="10">
        <f>A17-$B$4+1</f>
        <v/>
      </c>
      <c r="C17" s="11" t="n"/>
      <c r="D17" s="11" t="n"/>
      <c r="E17" s="12">
        <f>IF(OR(C17="",D17=""),"",IF(OR(C17="Barely",D17="Loud"),"RED",IF(OR(C17="Broken",D17="Noticeable"),"AMBER","GREEN")))</f>
        <v/>
      </c>
      <c r="F17" s="11" t="n"/>
      <c r="G17" s="11" t="n"/>
    </row>
    <row r="18">
      <c r="A18" s="9">
        <f>$B$4+11</f>
        <v/>
      </c>
      <c r="B18" s="10">
        <f>A18-$B$4+1</f>
        <v/>
      </c>
      <c r="C18" s="11" t="n"/>
      <c r="D18" s="11" t="n"/>
      <c r="E18" s="12">
        <f>IF(OR(C18="",D18=""),"",IF(OR(C18="Barely",D18="Loud"),"RED",IF(OR(C18="Broken",D18="Noticeable"),"AMBER","GREEN")))</f>
        <v/>
      </c>
      <c r="F18" s="11" t="n"/>
      <c r="G18" s="11" t="n"/>
    </row>
    <row r="19">
      <c r="A19" s="9">
        <f>$B$4+12</f>
        <v/>
      </c>
      <c r="B19" s="10">
        <f>A19-$B$4+1</f>
        <v/>
      </c>
      <c r="C19" s="11" t="n"/>
      <c r="D19" s="11" t="n"/>
      <c r="E19" s="12">
        <f>IF(OR(C19="",D19=""),"",IF(OR(C19="Barely",D19="Loud"),"RED",IF(OR(C19="Broken",D19="Noticeable"),"AMBER","GREEN")))</f>
        <v/>
      </c>
      <c r="F19" s="11" t="n"/>
      <c r="G19" s="11" t="n"/>
    </row>
    <row r="20">
      <c r="A20" s="9">
        <f>$B$4+13</f>
        <v/>
      </c>
      <c r="B20" s="10">
        <f>A20-$B$4+1</f>
        <v/>
      </c>
      <c r="C20" s="11" t="n"/>
      <c r="D20" s="11" t="n"/>
      <c r="E20" s="12">
        <f>IF(OR(C20="",D20=""),"",IF(OR(C20="Barely",D20="Loud"),"RED",IF(OR(C20="Broken",D20="Noticeable"),"AMBER","GREEN")))</f>
        <v/>
      </c>
      <c r="F20" s="11" t="n"/>
      <c r="G20" s="11" t="n"/>
    </row>
    <row r="21">
      <c r="A21" s="9">
        <f>$B$4+14</f>
        <v/>
      </c>
      <c r="B21" s="10">
        <f>A21-$B$4+1</f>
        <v/>
      </c>
      <c r="C21" s="11" t="n"/>
      <c r="D21" s="11" t="n"/>
      <c r="E21" s="12">
        <f>IF(OR(C21="",D21=""),"",IF(OR(C21="Barely",D21="Loud"),"RED",IF(OR(C21="Broken",D21="Noticeable"),"AMBER","GREEN")))</f>
        <v/>
      </c>
      <c r="F21" s="11" t="n"/>
      <c r="G21" s="11" t="n"/>
    </row>
    <row r="22">
      <c r="A22" s="9">
        <f>$B$4+15</f>
        <v/>
      </c>
      <c r="B22" s="10">
        <f>A22-$B$4+1</f>
        <v/>
      </c>
      <c r="C22" s="11" t="n"/>
      <c r="D22" s="11" t="n"/>
      <c r="E22" s="12">
        <f>IF(OR(C22="",D22=""),"",IF(OR(C22="Barely",D22="Loud"),"RED",IF(OR(C22="Broken",D22="Noticeable"),"AMBER","GREEN")))</f>
        <v/>
      </c>
      <c r="F22" s="11" t="n"/>
      <c r="G22" s="11" t="n"/>
    </row>
    <row r="23">
      <c r="A23" s="9">
        <f>$B$4+16</f>
        <v/>
      </c>
      <c r="B23" s="10">
        <f>A23-$B$4+1</f>
        <v/>
      </c>
      <c r="C23" s="11" t="n"/>
      <c r="D23" s="11" t="n"/>
      <c r="E23" s="12">
        <f>IF(OR(C23="",D23=""),"",IF(OR(C23="Barely",D23="Loud"),"RED",IF(OR(C23="Broken",D23="Noticeable"),"AMBER","GREEN")))</f>
        <v/>
      </c>
      <c r="F23" s="11" t="n"/>
      <c r="G23" s="11" t="n"/>
    </row>
    <row r="24">
      <c r="A24" s="9">
        <f>$B$4+17</f>
        <v/>
      </c>
      <c r="B24" s="10">
        <f>A24-$B$4+1</f>
        <v/>
      </c>
      <c r="C24" s="11" t="n"/>
      <c r="D24" s="11" t="n"/>
      <c r="E24" s="12">
        <f>IF(OR(C24="",D24=""),"",IF(OR(C24="Barely",D24="Loud"),"RED",IF(OR(C24="Broken",D24="Noticeable"),"AMBER","GREEN")))</f>
        <v/>
      </c>
      <c r="F24" s="11" t="n"/>
      <c r="G24" s="11" t="n"/>
    </row>
    <row r="25">
      <c r="A25" s="9">
        <f>$B$4+18</f>
        <v/>
      </c>
      <c r="B25" s="10">
        <f>A25-$B$4+1</f>
        <v/>
      </c>
      <c r="C25" s="11" t="n"/>
      <c r="D25" s="11" t="n"/>
      <c r="E25" s="12">
        <f>IF(OR(C25="",D25=""),"",IF(OR(C25="Barely",D25="Loud"),"RED",IF(OR(C25="Broken",D25="Noticeable"),"AMBER","GREEN")))</f>
        <v/>
      </c>
      <c r="F25" s="11" t="n"/>
      <c r="G25" s="11" t="n"/>
    </row>
    <row r="26">
      <c r="A26" s="9">
        <f>$B$4+19</f>
        <v/>
      </c>
      <c r="B26" s="10">
        <f>A26-$B$4+1</f>
        <v/>
      </c>
      <c r="C26" s="11" t="n"/>
      <c r="D26" s="11" t="n"/>
      <c r="E26" s="12">
        <f>IF(OR(C26="",D26=""),"",IF(OR(C26="Barely",D26="Loud"),"RED",IF(OR(C26="Broken",D26="Noticeable"),"AMBER","GREEN")))</f>
        <v/>
      </c>
      <c r="F26" s="11" t="n"/>
      <c r="G26" s="11" t="n"/>
    </row>
    <row r="27">
      <c r="A27" s="9">
        <f>$B$4+20</f>
        <v/>
      </c>
      <c r="B27" s="10">
        <f>A27-$B$4+1</f>
        <v/>
      </c>
      <c r="C27" s="11" t="n"/>
      <c r="D27" s="11" t="n"/>
      <c r="E27" s="12">
        <f>IF(OR(C27="",D27=""),"",IF(OR(C27="Barely",D27="Loud"),"RED",IF(OR(C27="Broken",D27="Noticeable"),"AMBER","GREEN")))</f>
        <v/>
      </c>
      <c r="F27" s="11" t="n"/>
      <c r="G27" s="11" t="n"/>
    </row>
    <row r="28">
      <c r="A28" s="9">
        <f>$B$4+21</f>
        <v/>
      </c>
      <c r="B28" s="10">
        <f>A28-$B$4+1</f>
        <v/>
      </c>
      <c r="C28" s="11" t="n"/>
      <c r="D28" s="11" t="n"/>
      <c r="E28" s="12">
        <f>IF(OR(C28="",D28=""),"",IF(OR(C28="Barely",D28="Loud"),"RED",IF(OR(C28="Broken",D28="Noticeable"),"AMBER","GREEN")))</f>
        <v/>
      </c>
      <c r="F28" s="11" t="n"/>
      <c r="G28" s="11" t="n"/>
    </row>
    <row r="29">
      <c r="A29" s="9">
        <f>$B$4+22</f>
        <v/>
      </c>
      <c r="B29" s="10">
        <f>A29-$B$4+1</f>
        <v/>
      </c>
      <c r="C29" s="11" t="n"/>
      <c r="D29" s="11" t="n"/>
      <c r="E29" s="12">
        <f>IF(OR(C29="",D29=""),"",IF(OR(C29="Barely",D29="Loud"),"RED",IF(OR(C29="Broken",D29="Noticeable"),"AMBER","GREEN")))</f>
        <v/>
      </c>
      <c r="F29" s="11" t="n"/>
      <c r="G29" s="11" t="n"/>
    </row>
    <row r="30">
      <c r="A30" s="9">
        <f>$B$4+23</f>
        <v/>
      </c>
      <c r="B30" s="10">
        <f>A30-$B$4+1</f>
        <v/>
      </c>
      <c r="C30" s="11" t="n"/>
      <c r="D30" s="11" t="n"/>
      <c r="E30" s="12">
        <f>IF(OR(C30="",D30=""),"",IF(OR(C30="Barely",D30="Loud"),"RED",IF(OR(C30="Broken",D30="Noticeable"),"AMBER","GREEN")))</f>
        <v/>
      </c>
      <c r="F30" s="11" t="n"/>
      <c r="G30" s="11" t="n"/>
    </row>
    <row r="31">
      <c r="A31" s="9">
        <f>$B$4+24</f>
        <v/>
      </c>
      <c r="B31" s="10">
        <f>A31-$B$4+1</f>
        <v/>
      </c>
      <c r="C31" s="11" t="n"/>
      <c r="D31" s="11" t="n"/>
      <c r="E31" s="12">
        <f>IF(OR(C31="",D31=""),"",IF(OR(C31="Barely",D31="Loud"),"RED",IF(OR(C31="Broken",D31="Noticeable"),"AMBER","GREEN")))</f>
        <v/>
      </c>
      <c r="F31" s="11" t="n"/>
      <c r="G31" s="11" t="n"/>
    </row>
    <row r="32">
      <c r="A32" s="9">
        <f>$B$4+25</f>
        <v/>
      </c>
      <c r="B32" s="10">
        <f>A32-$B$4+1</f>
        <v/>
      </c>
      <c r="C32" s="11" t="n"/>
      <c r="D32" s="11" t="n"/>
      <c r="E32" s="12">
        <f>IF(OR(C32="",D32=""),"",IF(OR(C32="Barely",D32="Loud"),"RED",IF(OR(C32="Broken",D32="Noticeable"),"AMBER","GREEN")))</f>
        <v/>
      </c>
      <c r="F32" s="11" t="n"/>
      <c r="G32" s="11" t="n"/>
    </row>
    <row r="33">
      <c r="A33" s="9">
        <f>$B$4+26</f>
        <v/>
      </c>
      <c r="B33" s="10">
        <f>A33-$B$4+1</f>
        <v/>
      </c>
      <c r="C33" s="11" t="n"/>
      <c r="D33" s="11" t="n"/>
      <c r="E33" s="12">
        <f>IF(OR(C33="",D33=""),"",IF(OR(C33="Barely",D33="Loud"),"RED",IF(OR(C33="Broken",D33="Noticeable"),"AMBER","GREEN")))</f>
        <v/>
      </c>
      <c r="F33" s="11" t="n"/>
      <c r="G33" s="11" t="n"/>
    </row>
    <row r="34">
      <c r="A34" s="9">
        <f>$B$4+27</f>
        <v/>
      </c>
      <c r="B34" s="10">
        <f>A34-$B$4+1</f>
        <v/>
      </c>
      <c r="C34" s="11" t="n"/>
      <c r="D34" s="11" t="n"/>
      <c r="E34" s="12">
        <f>IF(OR(C34="",D34=""),"",IF(OR(C34="Barely",D34="Loud"),"RED",IF(OR(C34="Broken",D34="Noticeable"),"AMBER","GREEN")))</f>
        <v/>
      </c>
      <c r="F34" s="11" t="n"/>
      <c r="G34" s="11" t="n"/>
    </row>
    <row r="35">
      <c r="A35" s="9">
        <f>$B$4+28</f>
        <v/>
      </c>
      <c r="B35" s="10">
        <f>A35-$B$4+1</f>
        <v/>
      </c>
      <c r="C35" s="11" t="n"/>
      <c r="D35" s="11" t="n"/>
      <c r="E35" s="12">
        <f>IF(OR(C35="",D35=""),"",IF(OR(C35="Barely",D35="Loud"),"RED",IF(OR(C35="Broken",D35="Noticeable"),"AMBER","GREEN")))</f>
        <v/>
      </c>
      <c r="F35" s="11" t="n"/>
      <c r="G35" s="11" t="n"/>
    </row>
    <row r="36">
      <c r="A36" s="9">
        <f>$B$4+29</f>
        <v/>
      </c>
      <c r="B36" s="10">
        <f>A36-$B$4+1</f>
        <v/>
      </c>
      <c r="C36" s="11" t="n"/>
      <c r="D36" s="11" t="n"/>
      <c r="E36" s="12">
        <f>IF(OR(C36="",D36=""),"",IF(OR(C36="Barely",D36="Loud"),"RED",IF(OR(C36="Broken",D36="Noticeable"),"AMBER","GREEN")))</f>
        <v/>
      </c>
      <c r="F36" s="11" t="n"/>
      <c r="G36" s="11" t="n"/>
    </row>
    <row r="37">
      <c r="A37" s="9">
        <f>$B$4+30</f>
        <v/>
      </c>
      <c r="B37" s="10">
        <f>A37-$B$4+1</f>
        <v/>
      </c>
      <c r="C37" s="11" t="n"/>
      <c r="D37" s="11" t="n"/>
      <c r="E37" s="12">
        <f>IF(OR(C37="",D37=""),"",IF(OR(C37="Barely",D37="Loud"),"RED",IF(OR(C37="Broken",D37="Noticeable"),"AMBER","GREEN")))</f>
        <v/>
      </c>
      <c r="F37" s="11" t="n"/>
      <c r="G37" s="11" t="n"/>
    </row>
    <row r="38">
      <c r="A38" s="9">
        <f>$B$4+31</f>
        <v/>
      </c>
      <c r="B38" s="10">
        <f>A38-$B$4+1</f>
        <v/>
      </c>
      <c r="C38" s="11" t="n"/>
      <c r="D38" s="11" t="n"/>
      <c r="E38" s="12">
        <f>IF(OR(C38="",D38=""),"",IF(OR(C38="Barely",D38="Loud"),"RED",IF(OR(C38="Broken",D38="Noticeable"),"AMBER","GREEN")))</f>
        <v/>
      </c>
      <c r="F38" s="11" t="n"/>
      <c r="G38" s="11" t="n"/>
    </row>
    <row r="39">
      <c r="A39" s="9">
        <f>$B$4+32</f>
        <v/>
      </c>
      <c r="B39" s="10">
        <f>A39-$B$4+1</f>
        <v/>
      </c>
      <c r="C39" s="11" t="n"/>
      <c r="D39" s="11" t="n"/>
      <c r="E39" s="12">
        <f>IF(OR(C39="",D39=""),"",IF(OR(C39="Barely",D39="Loud"),"RED",IF(OR(C39="Broken",D39="Noticeable"),"AMBER","GREEN")))</f>
        <v/>
      </c>
      <c r="F39" s="11" t="n"/>
      <c r="G39" s="11" t="n"/>
    </row>
    <row r="40">
      <c r="A40" s="9">
        <f>$B$4+33</f>
        <v/>
      </c>
      <c r="B40" s="10">
        <f>A40-$B$4+1</f>
        <v/>
      </c>
      <c r="C40" s="11" t="n"/>
      <c r="D40" s="11" t="n"/>
      <c r="E40" s="12">
        <f>IF(OR(C40="",D40=""),"",IF(OR(C40="Barely",D40="Loud"),"RED",IF(OR(C40="Broken",D40="Noticeable"),"AMBER","GREEN")))</f>
        <v/>
      </c>
      <c r="F40" s="11" t="n"/>
      <c r="G40" s="11" t="n"/>
    </row>
    <row r="41">
      <c r="A41" s="9">
        <f>$B$4+34</f>
        <v/>
      </c>
      <c r="B41" s="10">
        <f>A41-$B$4+1</f>
        <v/>
      </c>
      <c r="C41" s="11" t="n"/>
      <c r="D41" s="11" t="n"/>
      <c r="E41" s="12">
        <f>IF(OR(C41="",D41=""),"",IF(OR(C41="Barely",D41="Loud"),"RED",IF(OR(C41="Broken",D41="Noticeable"),"AMBER","GREEN")))</f>
        <v/>
      </c>
      <c r="F41" s="11" t="n"/>
      <c r="G41" s="11" t="n"/>
    </row>
    <row r="42">
      <c r="A42" s="9">
        <f>$B$4+35</f>
        <v/>
      </c>
      <c r="B42" s="10">
        <f>A42-$B$4+1</f>
        <v/>
      </c>
      <c r="C42" s="11" t="n"/>
      <c r="D42" s="11" t="n"/>
      <c r="E42" s="12">
        <f>IF(OR(C42="",D42=""),"",IF(OR(C42="Barely",D42="Loud"),"RED",IF(OR(C42="Broken",D42="Noticeable"),"AMBER","GREEN")))</f>
        <v/>
      </c>
      <c r="F42" s="11" t="n"/>
      <c r="G42" s="11" t="n"/>
    </row>
    <row r="43">
      <c r="A43" s="9">
        <f>$B$4+36</f>
        <v/>
      </c>
      <c r="B43" s="10">
        <f>A43-$B$4+1</f>
        <v/>
      </c>
      <c r="C43" s="11" t="n"/>
      <c r="D43" s="11" t="n"/>
      <c r="E43" s="12">
        <f>IF(OR(C43="",D43=""),"",IF(OR(C43="Barely",D43="Loud"),"RED",IF(OR(C43="Broken",D43="Noticeable"),"AMBER","GREEN")))</f>
        <v/>
      </c>
      <c r="F43" s="11" t="n"/>
      <c r="G43" s="11" t="n"/>
    </row>
    <row r="44">
      <c r="A44" s="9">
        <f>$B$4+37</f>
        <v/>
      </c>
      <c r="B44" s="10">
        <f>A44-$B$4+1</f>
        <v/>
      </c>
      <c r="C44" s="11" t="n"/>
      <c r="D44" s="11" t="n"/>
      <c r="E44" s="12">
        <f>IF(OR(C44="",D44=""),"",IF(OR(C44="Barely",D44="Loud"),"RED",IF(OR(C44="Broken",D44="Noticeable"),"AMBER","GREEN")))</f>
        <v/>
      </c>
      <c r="F44" s="11" t="n"/>
      <c r="G44" s="11" t="n"/>
    </row>
    <row r="45">
      <c r="A45" s="9">
        <f>$B$4+38</f>
        <v/>
      </c>
      <c r="B45" s="10">
        <f>A45-$B$4+1</f>
        <v/>
      </c>
      <c r="C45" s="11" t="n"/>
      <c r="D45" s="11" t="n"/>
      <c r="E45" s="12">
        <f>IF(OR(C45="",D45=""),"",IF(OR(C45="Barely",D45="Loud"),"RED",IF(OR(C45="Broken",D45="Noticeable"),"AMBER","GREEN")))</f>
        <v/>
      </c>
      <c r="F45" s="11" t="n"/>
      <c r="G45" s="11" t="n"/>
    </row>
    <row r="46">
      <c r="A46" s="9">
        <f>$B$4+39</f>
        <v/>
      </c>
      <c r="B46" s="10">
        <f>A46-$B$4+1</f>
        <v/>
      </c>
      <c r="C46" s="11" t="n"/>
      <c r="D46" s="11" t="n"/>
      <c r="E46" s="12">
        <f>IF(OR(C46="",D46=""),"",IF(OR(C46="Barely",D46="Loud"),"RED",IF(OR(C46="Broken",D46="Noticeable"),"AMBER","GREEN")))</f>
        <v/>
      </c>
      <c r="F46" s="11" t="n"/>
      <c r="G46" s="11" t="n"/>
    </row>
    <row r="47">
      <c r="A47" s="9">
        <f>$B$4+40</f>
        <v/>
      </c>
      <c r="B47" s="10">
        <f>A47-$B$4+1</f>
        <v/>
      </c>
      <c r="C47" s="11" t="n"/>
      <c r="D47" s="11" t="n"/>
      <c r="E47" s="12">
        <f>IF(OR(C47="",D47=""),"",IF(OR(C47="Barely",D47="Loud"),"RED",IF(OR(C47="Broken",D47="Noticeable"),"AMBER","GREEN")))</f>
        <v/>
      </c>
      <c r="F47" s="11" t="n"/>
      <c r="G47" s="11" t="n"/>
    </row>
    <row r="48">
      <c r="A48" s="9">
        <f>$B$4+41</f>
        <v/>
      </c>
      <c r="B48" s="10">
        <f>A48-$B$4+1</f>
        <v/>
      </c>
      <c r="C48" s="11" t="n"/>
      <c r="D48" s="11" t="n"/>
      <c r="E48" s="12">
        <f>IF(OR(C48="",D48=""),"",IF(OR(C48="Barely",D48="Loud"),"RED",IF(OR(C48="Broken",D48="Noticeable"),"AMBER","GREEN")))</f>
        <v/>
      </c>
      <c r="F48" s="11" t="n"/>
      <c r="G48" s="11" t="n"/>
    </row>
    <row r="49">
      <c r="A49" s="9">
        <f>$B$4+42</f>
        <v/>
      </c>
      <c r="B49" s="10">
        <f>A49-$B$4+1</f>
        <v/>
      </c>
      <c r="C49" s="11" t="n"/>
      <c r="D49" s="11" t="n"/>
      <c r="E49" s="12">
        <f>IF(OR(C49="",D49=""),"",IF(OR(C49="Barely",D49="Loud"),"RED",IF(OR(C49="Broken",D49="Noticeable"),"AMBER","GREEN")))</f>
        <v/>
      </c>
      <c r="F49" s="11" t="n"/>
      <c r="G49" s="11" t="n"/>
    </row>
    <row r="50">
      <c r="A50" s="9">
        <f>$B$4+43</f>
        <v/>
      </c>
      <c r="B50" s="10">
        <f>A50-$B$4+1</f>
        <v/>
      </c>
      <c r="C50" s="11" t="n"/>
      <c r="D50" s="11" t="n"/>
      <c r="E50" s="12">
        <f>IF(OR(C50="",D50=""),"",IF(OR(C50="Barely",D50="Loud"),"RED",IF(OR(C50="Broken",D50="Noticeable"),"AMBER","GREEN")))</f>
        <v/>
      </c>
      <c r="F50" s="11" t="n"/>
      <c r="G50" s="11" t="n"/>
    </row>
    <row r="51">
      <c r="A51" s="9">
        <f>$B$4+44</f>
        <v/>
      </c>
      <c r="B51" s="10">
        <f>A51-$B$4+1</f>
        <v/>
      </c>
      <c r="C51" s="11" t="n"/>
      <c r="D51" s="11" t="n"/>
      <c r="E51" s="12">
        <f>IF(OR(C51="",D51=""),"",IF(OR(C51="Barely",D51="Loud"),"RED",IF(OR(C51="Broken",D51="Noticeable"),"AMBER","GREEN")))</f>
        <v/>
      </c>
      <c r="F51" s="11" t="n"/>
      <c r="G51" s="11" t="n"/>
    </row>
    <row r="52">
      <c r="A52" s="9">
        <f>$B$4+45</f>
        <v/>
      </c>
      <c r="B52" s="10">
        <f>A52-$B$4+1</f>
        <v/>
      </c>
      <c r="C52" s="11" t="n"/>
      <c r="D52" s="11" t="n"/>
      <c r="E52" s="12">
        <f>IF(OR(C52="",D52=""),"",IF(OR(C52="Barely",D52="Loud"),"RED",IF(OR(C52="Broken",D52="Noticeable"),"AMBER","GREEN")))</f>
        <v/>
      </c>
      <c r="F52" s="11" t="n"/>
      <c r="G52" s="11" t="n"/>
    </row>
    <row r="53">
      <c r="A53" s="9">
        <f>$B$4+46</f>
        <v/>
      </c>
      <c r="B53" s="10">
        <f>A53-$B$4+1</f>
        <v/>
      </c>
      <c r="C53" s="11" t="n"/>
      <c r="D53" s="11" t="n"/>
      <c r="E53" s="12">
        <f>IF(OR(C53="",D53=""),"",IF(OR(C53="Barely",D53="Loud"),"RED",IF(OR(C53="Broken",D53="Noticeable"),"AMBER","GREEN")))</f>
        <v/>
      </c>
      <c r="F53" s="11" t="n"/>
      <c r="G53" s="11" t="n"/>
    </row>
    <row r="54">
      <c r="A54" s="9">
        <f>$B$4+47</f>
        <v/>
      </c>
      <c r="B54" s="10">
        <f>A54-$B$4+1</f>
        <v/>
      </c>
      <c r="C54" s="11" t="n"/>
      <c r="D54" s="11" t="n"/>
      <c r="E54" s="12">
        <f>IF(OR(C54="",D54=""),"",IF(OR(C54="Barely",D54="Loud"),"RED",IF(OR(C54="Broken",D54="Noticeable"),"AMBER","GREEN")))</f>
        <v/>
      </c>
      <c r="F54" s="11" t="n"/>
      <c r="G54" s="11" t="n"/>
    </row>
    <row r="55">
      <c r="A55" s="9">
        <f>$B$4+48</f>
        <v/>
      </c>
      <c r="B55" s="10">
        <f>A55-$B$4+1</f>
        <v/>
      </c>
      <c r="C55" s="11" t="n"/>
      <c r="D55" s="11" t="n"/>
      <c r="E55" s="12">
        <f>IF(OR(C55="",D55=""),"",IF(OR(C55="Barely",D55="Loud"),"RED",IF(OR(C55="Broken",D55="Noticeable"),"AMBER","GREEN")))</f>
        <v/>
      </c>
      <c r="F55" s="11" t="n"/>
      <c r="G55" s="11" t="n"/>
    </row>
    <row r="56">
      <c r="A56" s="9">
        <f>$B$4+49</f>
        <v/>
      </c>
      <c r="B56" s="10">
        <f>A56-$B$4+1</f>
        <v/>
      </c>
      <c r="C56" s="11" t="n"/>
      <c r="D56" s="11" t="n"/>
      <c r="E56" s="12">
        <f>IF(OR(C56="",D56=""),"",IF(OR(C56="Barely",D56="Loud"),"RED",IF(OR(C56="Broken",D56="Noticeable"),"AMBER","GREEN")))</f>
        <v/>
      </c>
      <c r="F56" s="11" t="n"/>
      <c r="G56" s="11" t="n"/>
    </row>
    <row r="57">
      <c r="A57" s="9">
        <f>$B$4+50</f>
        <v/>
      </c>
      <c r="B57" s="10">
        <f>A57-$B$4+1</f>
        <v/>
      </c>
      <c r="C57" s="11" t="n"/>
      <c r="D57" s="11" t="n"/>
      <c r="E57" s="12">
        <f>IF(OR(C57="",D57=""),"",IF(OR(C57="Barely",D57="Loud"),"RED",IF(OR(C57="Broken",D57="Noticeable"),"AMBER","GREEN")))</f>
        <v/>
      </c>
      <c r="F57" s="11" t="n"/>
      <c r="G57" s="11" t="n"/>
    </row>
    <row r="58">
      <c r="A58" s="9">
        <f>$B$4+51</f>
        <v/>
      </c>
      <c r="B58" s="10">
        <f>A58-$B$4+1</f>
        <v/>
      </c>
      <c r="C58" s="11" t="n"/>
      <c r="D58" s="11" t="n"/>
      <c r="E58" s="12">
        <f>IF(OR(C58="",D58=""),"",IF(OR(C58="Barely",D58="Loud"),"RED",IF(OR(C58="Broken",D58="Noticeable"),"AMBER","GREEN")))</f>
        <v/>
      </c>
      <c r="F58" s="11" t="n"/>
      <c r="G58" s="11" t="n"/>
    </row>
    <row r="59">
      <c r="A59" s="9">
        <f>$B$4+52</f>
        <v/>
      </c>
      <c r="B59" s="10">
        <f>A59-$B$4+1</f>
        <v/>
      </c>
      <c r="C59" s="11" t="n"/>
      <c r="D59" s="11" t="n"/>
      <c r="E59" s="12">
        <f>IF(OR(C59="",D59=""),"",IF(OR(C59="Barely",D59="Loud"),"RED",IF(OR(C59="Broken",D59="Noticeable"),"AMBER","GREEN")))</f>
        <v/>
      </c>
      <c r="F59" s="11" t="n"/>
      <c r="G59" s="11" t="n"/>
    </row>
    <row r="60">
      <c r="A60" s="9">
        <f>$B$4+53</f>
        <v/>
      </c>
      <c r="B60" s="10">
        <f>A60-$B$4+1</f>
        <v/>
      </c>
      <c r="C60" s="11" t="n"/>
      <c r="D60" s="11" t="n"/>
      <c r="E60" s="12">
        <f>IF(OR(C60="",D60=""),"",IF(OR(C60="Barely",D60="Loud"),"RED",IF(OR(C60="Broken",D60="Noticeable"),"AMBER","GREEN")))</f>
        <v/>
      </c>
      <c r="F60" s="11" t="n"/>
      <c r="G60" s="11" t="n"/>
    </row>
    <row r="61">
      <c r="A61" s="9">
        <f>$B$4+54</f>
        <v/>
      </c>
      <c r="B61" s="10">
        <f>A61-$B$4+1</f>
        <v/>
      </c>
      <c r="C61" s="11" t="n"/>
      <c r="D61" s="11" t="n"/>
      <c r="E61" s="12">
        <f>IF(OR(C61="",D61=""),"",IF(OR(C61="Barely",D61="Loud"),"RED",IF(OR(C61="Broken",D61="Noticeable"),"AMBER","GREEN")))</f>
        <v/>
      </c>
      <c r="F61" s="11" t="n"/>
      <c r="G61" s="11" t="n"/>
    </row>
    <row r="62">
      <c r="A62" s="9">
        <f>$B$4+55</f>
        <v/>
      </c>
      <c r="B62" s="10">
        <f>A62-$B$4+1</f>
        <v/>
      </c>
      <c r="C62" s="11" t="n"/>
      <c r="D62" s="11" t="n"/>
      <c r="E62" s="12">
        <f>IF(OR(C62="",D62=""),"",IF(OR(C62="Barely",D62="Loud"),"RED",IF(OR(C62="Broken",D62="Noticeable"),"AMBER","GREEN")))</f>
        <v/>
      </c>
      <c r="F62" s="11" t="n"/>
      <c r="G62" s="11" t="n"/>
    </row>
    <row r="63">
      <c r="A63" s="9">
        <f>$B$4+56</f>
        <v/>
      </c>
      <c r="B63" s="10">
        <f>A63-$B$4+1</f>
        <v/>
      </c>
      <c r="C63" s="11" t="n"/>
      <c r="D63" s="11" t="n"/>
      <c r="E63" s="12">
        <f>IF(OR(C63="",D63=""),"",IF(OR(C63="Barely",D63="Loud"),"RED",IF(OR(C63="Broken",D63="Noticeable"),"AMBER","GREEN")))</f>
        <v/>
      </c>
      <c r="F63" s="11" t="n"/>
      <c r="G63" s="11" t="n"/>
    </row>
    <row r="64">
      <c r="A64" s="9">
        <f>$B$4+57</f>
        <v/>
      </c>
      <c r="B64" s="10">
        <f>A64-$B$4+1</f>
        <v/>
      </c>
      <c r="C64" s="11" t="n"/>
      <c r="D64" s="11" t="n"/>
      <c r="E64" s="12">
        <f>IF(OR(C64="",D64=""),"",IF(OR(C64="Barely",D64="Loud"),"RED",IF(OR(C64="Broken",D64="Noticeable"),"AMBER","GREEN")))</f>
        <v/>
      </c>
      <c r="F64" s="11" t="n"/>
      <c r="G64" s="11" t="n"/>
    </row>
    <row r="65">
      <c r="A65" s="9">
        <f>$B$4+58</f>
        <v/>
      </c>
      <c r="B65" s="10">
        <f>A65-$B$4+1</f>
        <v/>
      </c>
      <c r="C65" s="11" t="n"/>
      <c r="D65" s="11" t="n"/>
      <c r="E65" s="12">
        <f>IF(OR(C65="",D65=""),"",IF(OR(C65="Barely",D65="Loud"),"RED",IF(OR(C65="Broken",D65="Noticeable"),"AMBER","GREEN")))</f>
        <v/>
      </c>
      <c r="F65" s="11" t="n"/>
      <c r="G65" s="11" t="n"/>
    </row>
    <row r="66">
      <c r="A66" s="9">
        <f>$B$4+59</f>
        <v/>
      </c>
      <c r="B66" s="10">
        <f>A66-$B$4+1</f>
        <v/>
      </c>
      <c r="C66" s="11" t="n"/>
      <c r="D66" s="11" t="n"/>
      <c r="E66" s="12">
        <f>IF(OR(C66="",D66=""),"",IF(OR(C66="Barely",D66="Loud"),"RED",IF(OR(C66="Broken",D66="Noticeable"),"AMBER","GREEN")))</f>
        <v/>
      </c>
      <c r="F66" s="11" t="n"/>
      <c r="G66" s="11" t="n"/>
    </row>
    <row r="67">
      <c r="A67" s="9">
        <f>$B$4+60</f>
        <v/>
      </c>
      <c r="B67" s="10">
        <f>A67-$B$4+1</f>
        <v/>
      </c>
      <c r="C67" s="11" t="n"/>
      <c r="D67" s="11" t="n"/>
      <c r="E67" s="12">
        <f>IF(OR(C67="",D67=""),"",IF(OR(C67="Barely",D67="Loud"),"RED",IF(OR(C67="Broken",D67="Noticeable"),"AMBER","GREEN")))</f>
        <v/>
      </c>
      <c r="F67" s="11" t="n"/>
      <c r="G67" s="11" t="n"/>
    </row>
    <row r="68">
      <c r="A68" s="9">
        <f>$B$4+61</f>
        <v/>
      </c>
      <c r="B68" s="10">
        <f>A68-$B$4+1</f>
        <v/>
      </c>
      <c r="C68" s="11" t="n"/>
      <c r="D68" s="11" t="n"/>
      <c r="E68" s="12">
        <f>IF(OR(C68="",D68=""),"",IF(OR(C68="Barely",D68="Loud"),"RED",IF(OR(C68="Broken",D68="Noticeable"),"AMBER","GREEN")))</f>
        <v/>
      </c>
      <c r="F68" s="11" t="n"/>
      <c r="G68" s="11" t="n"/>
    </row>
    <row r="69">
      <c r="A69" s="9">
        <f>$B$4+62</f>
        <v/>
      </c>
      <c r="B69" s="10">
        <f>A69-$B$4+1</f>
        <v/>
      </c>
      <c r="C69" s="11" t="n"/>
      <c r="D69" s="11" t="n"/>
      <c r="E69" s="12">
        <f>IF(OR(C69="",D69=""),"",IF(OR(C69="Barely",D69="Loud"),"RED",IF(OR(C69="Broken",D69="Noticeable"),"AMBER","GREEN")))</f>
        <v/>
      </c>
      <c r="F69" s="11" t="n"/>
      <c r="G69" s="11" t="n"/>
    </row>
    <row r="70">
      <c r="A70" s="9">
        <f>$B$4+63</f>
        <v/>
      </c>
      <c r="B70" s="10">
        <f>A70-$B$4+1</f>
        <v/>
      </c>
      <c r="C70" s="11" t="n"/>
      <c r="D70" s="11" t="n"/>
      <c r="E70" s="12">
        <f>IF(OR(C70="",D70=""),"",IF(OR(C70="Barely",D70="Loud"),"RED",IF(OR(C70="Broken",D70="Noticeable"),"AMBER","GREEN")))</f>
        <v/>
      </c>
      <c r="F70" s="11" t="n"/>
      <c r="G70" s="11" t="n"/>
    </row>
    <row r="71">
      <c r="A71" s="9">
        <f>$B$4+64</f>
        <v/>
      </c>
      <c r="B71" s="10">
        <f>A71-$B$4+1</f>
        <v/>
      </c>
      <c r="C71" s="11" t="n"/>
      <c r="D71" s="11" t="n"/>
      <c r="E71" s="12">
        <f>IF(OR(C71="",D71=""),"",IF(OR(C71="Barely",D71="Loud"),"RED",IF(OR(C71="Broken",D71="Noticeable"),"AMBER","GREEN")))</f>
        <v/>
      </c>
      <c r="F71" s="11" t="n"/>
      <c r="G71" s="11" t="n"/>
    </row>
    <row r="72">
      <c r="A72" s="9">
        <f>$B$4+65</f>
        <v/>
      </c>
      <c r="B72" s="10">
        <f>A72-$B$4+1</f>
        <v/>
      </c>
      <c r="C72" s="11" t="n"/>
      <c r="D72" s="11" t="n"/>
      <c r="E72" s="12">
        <f>IF(OR(C72="",D72=""),"",IF(OR(C72="Barely",D72="Loud"),"RED",IF(OR(C72="Broken",D72="Noticeable"),"AMBER","GREEN")))</f>
        <v/>
      </c>
      <c r="F72" s="11" t="n"/>
      <c r="G72" s="11" t="n"/>
    </row>
    <row r="73">
      <c r="A73" s="9">
        <f>$B$4+66</f>
        <v/>
      </c>
      <c r="B73" s="10">
        <f>A73-$B$4+1</f>
        <v/>
      </c>
      <c r="C73" s="11" t="n"/>
      <c r="D73" s="11" t="n"/>
      <c r="E73" s="12">
        <f>IF(OR(C73="",D73=""),"",IF(OR(C73="Barely",D73="Loud"),"RED",IF(OR(C73="Broken",D73="Noticeable"),"AMBER","GREEN")))</f>
        <v/>
      </c>
      <c r="F73" s="11" t="n"/>
      <c r="G73" s="11" t="n"/>
    </row>
    <row r="74">
      <c r="A74" s="9">
        <f>$B$4+67</f>
        <v/>
      </c>
      <c r="B74" s="10">
        <f>A74-$B$4+1</f>
        <v/>
      </c>
      <c r="C74" s="11" t="n"/>
      <c r="D74" s="11" t="n"/>
      <c r="E74" s="12">
        <f>IF(OR(C74="",D74=""),"",IF(OR(C74="Barely",D74="Loud"),"RED",IF(OR(C74="Broken",D74="Noticeable"),"AMBER","GREEN")))</f>
        <v/>
      </c>
      <c r="F74" s="11" t="n"/>
      <c r="G74" s="11" t="n"/>
    </row>
    <row r="75">
      <c r="A75" s="9">
        <f>$B$4+68</f>
        <v/>
      </c>
      <c r="B75" s="10">
        <f>A75-$B$4+1</f>
        <v/>
      </c>
      <c r="C75" s="11" t="n"/>
      <c r="D75" s="11" t="n"/>
      <c r="E75" s="12">
        <f>IF(OR(C75="",D75=""),"",IF(OR(C75="Barely",D75="Loud"),"RED",IF(OR(C75="Broken",D75="Noticeable"),"AMBER","GREEN")))</f>
        <v/>
      </c>
      <c r="F75" s="11" t="n"/>
      <c r="G75" s="11" t="n"/>
    </row>
    <row r="76">
      <c r="A76" s="9">
        <f>$B$4+69</f>
        <v/>
      </c>
      <c r="B76" s="10">
        <f>A76-$B$4+1</f>
        <v/>
      </c>
      <c r="C76" s="11" t="n"/>
      <c r="D76" s="11" t="n"/>
      <c r="E76" s="12">
        <f>IF(OR(C76="",D76=""),"",IF(OR(C76="Barely",D76="Loud"),"RED",IF(OR(C76="Broken",D76="Noticeable"),"AMBER","GREEN")))</f>
        <v/>
      </c>
      <c r="F76" s="11" t="n"/>
      <c r="G76" s="11" t="n"/>
    </row>
    <row r="77">
      <c r="A77" s="9">
        <f>$B$4+70</f>
        <v/>
      </c>
      <c r="B77" s="10">
        <f>A77-$B$4+1</f>
        <v/>
      </c>
      <c r="C77" s="11" t="n"/>
      <c r="D77" s="11" t="n"/>
      <c r="E77" s="12">
        <f>IF(OR(C77="",D77=""),"",IF(OR(C77="Barely",D77="Loud"),"RED",IF(OR(C77="Broken",D77="Noticeable"),"AMBER","GREEN")))</f>
        <v/>
      </c>
      <c r="F77" s="11" t="n"/>
      <c r="G77" s="11" t="n"/>
    </row>
    <row r="78">
      <c r="A78" s="9">
        <f>$B$4+71</f>
        <v/>
      </c>
      <c r="B78" s="10">
        <f>A78-$B$4+1</f>
        <v/>
      </c>
      <c r="C78" s="11" t="n"/>
      <c r="D78" s="11" t="n"/>
      <c r="E78" s="12">
        <f>IF(OR(C78="",D78=""),"",IF(OR(C78="Barely",D78="Loud"),"RED",IF(OR(C78="Broken",D78="Noticeable"),"AMBER","GREEN")))</f>
        <v/>
      </c>
      <c r="F78" s="11" t="n"/>
      <c r="G78" s="11" t="n"/>
    </row>
    <row r="79">
      <c r="A79" s="9">
        <f>$B$4+72</f>
        <v/>
      </c>
      <c r="B79" s="10">
        <f>A79-$B$4+1</f>
        <v/>
      </c>
      <c r="C79" s="11" t="n"/>
      <c r="D79" s="11" t="n"/>
      <c r="E79" s="12">
        <f>IF(OR(C79="",D79=""),"",IF(OR(C79="Barely",D79="Loud"),"RED",IF(OR(C79="Broken",D79="Noticeable"),"AMBER","GREEN")))</f>
        <v/>
      </c>
      <c r="F79" s="11" t="n"/>
      <c r="G79" s="11" t="n"/>
    </row>
    <row r="80">
      <c r="A80" s="9">
        <f>$B$4+73</f>
        <v/>
      </c>
      <c r="B80" s="10">
        <f>A80-$B$4+1</f>
        <v/>
      </c>
      <c r="C80" s="11" t="n"/>
      <c r="D80" s="11" t="n"/>
      <c r="E80" s="12">
        <f>IF(OR(C80="",D80=""),"",IF(OR(C80="Barely",D80="Loud"),"RED",IF(OR(C80="Broken",D80="Noticeable"),"AMBER","GREEN")))</f>
        <v/>
      </c>
      <c r="F80" s="11" t="n"/>
      <c r="G80" s="11" t="n"/>
    </row>
    <row r="81">
      <c r="A81" s="9">
        <f>$B$4+74</f>
        <v/>
      </c>
      <c r="B81" s="10">
        <f>A81-$B$4+1</f>
        <v/>
      </c>
      <c r="C81" s="11" t="n"/>
      <c r="D81" s="11" t="n"/>
      <c r="E81" s="12">
        <f>IF(OR(C81="",D81=""),"",IF(OR(C81="Barely",D81="Loud"),"RED",IF(OR(C81="Broken",D81="Noticeable"),"AMBER","GREEN")))</f>
        <v/>
      </c>
      <c r="F81" s="11" t="n"/>
      <c r="G81" s="11" t="n"/>
    </row>
    <row r="82">
      <c r="A82" s="9">
        <f>$B$4+75</f>
        <v/>
      </c>
      <c r="B82" s="10">
        <f>A82-$B$4+1</f>
        <v/>
      </c>
      <c r="C82" s="11" t="n"/>
      <c r="D82" s="11" t="n"/>
      <c r="E82" s="12">
        <f>IF(OR(C82="",D82=""),"",IF(OR(C82="Barely",D82="Loud"),"RED",IF(OR(C82="Broken",D82="Noticeable"),"AMBER","GREEN")))</f>
        <v/>
      </c>
      <c r="F82" s="11" t="n"/>
      <c r="G82" s="11" t="n"/>
    </row>
    <row r="83">
      <c r="A83" s="9">
        <f>$B$4+76</f>
        <v/>
      </c>
      <c r="B83" s="10">
        <f>A83-$B$4+1</f>
        <v/>
      </c>
      <c r="C83" s="11" t="n"/>
      <c r="D83" s="11" t="n"/>
      <c r="E83" s="12">
        <f>IF(OR(C83="",D83=""),"",IF(OR(C83="Barely",D83="Loud"),"RED",IF(OR(C83="Broken",D83="Noticeable"),"AMBER","GREEN")))</f>
        <v/>
      </c>
      <c r="F83" s="11" t="n"/>
      <c r="G83" s="11" t="n"/>
    </row>
    <row r="84">
      <c r="A84" s="9">
        <f>$B$4+77</f>
        <v/>
      </c>
      <c r="B84" s="10">
        <f>A84-$B$4+1</f>
        <v/>
      </c>
      <c r="C84" s="11" t="n"/>
      <c r="D84" s="11" t="n"/>
      <c r="E84" s="12">
        <f>IF(OR(C84="",D84=""),"",IF(OR(C84="Barely",D84="Loud"),"RED",IF(OR(C84="Broken",D84="Noticeable"),"AMBER","GREEN")))</f>
        <v/>
      </c>
      <c r="F84" s="11" t="n"/>
      <c r="G84" s="11" t="n"/>
    </row>
    <row r="85">
      <c r="A85" s="9">
        <f>$B$4+78</f>
        <v/>
      </c>
      <c r="B85" s="10">
        <f>A85-$B$4+1</f>
        <v/>
      </c>
      <c r="C85" s="11" t="n"/>
      <c r="D85" s="11" t="n"/>
      <c r="E85" s="12">
        <f>IF(OR(C85="",D85=""),"",IF(OR(C85="Barely",D85="Loud"),"RED",IF(OR(C85="Broken",D85="Noticeable"),"AMBER","GREEN")))</f>
        <v/>
      </c>
      <c r="F85" s="11" t="n"/>
      <c r="G85" s="11" t="n"/>
    </row>
    <row r="86">
      <c r="A86" s="9">
        <f>$B$4+79</f>
        <v/>
      </c>
      <c r="B86" s="10">
        <f>A86-$B$4+1</f>
        <v/>
      </c>
      <c r="C86" s="11" t="n"/>
      <c r="D86" s="11" t="n"/>
      <c r="E86" s="12">
        <f>IF(OR(C86="",D86=""),"",IF(OR(C86="Barely",D86="Loud"),"RED",IF(OR(C86="Broken",D86="Noticeable"),"AMBER","GREEN")))</f>
        <v/>
      </c>
      <c r="F86" s="11" t="n"/>
      <c r="G86" s="11" t="n"/>
    </row>
    <row r="87">
      <c r="A87" s="9">
        <f>$B$4+80</f>
        <v/>
      </c>
      <c r="B87" s="10">
        <f>A87-$B$4+1</f>
        <v/>
      </c>
      <c r="C87" s="11" t="n"/>
      <c r="D87" s="11" t="n"/>
      <c r="E87" s="12">
        <f>IF(OR(C87="",D87=""),"",IF(OR(C87="Barely",D87="Loud"),"RED",IF(OR(C87="Broken",D87="Noticeable"),"AMBER","GREEN")))</f>
        <v/>
      </c>
      <c r="F87" s="11" t="n"/>
      <c r="G87" s="11" t="n"/>
    </row>
    <row r="88">
      <c r="A88" s="9">
        <f>$B$4+81</f>
        <v/>
      </c>
      <c r="B88" s="10">
        <f>A88-$B$4+1</f>
        <v/>
      </c>
      <c r="C88" s="11" t="n"/>
      <c r="D88" s="11" t="n"/>
      <c r="E88" s="12">
        <f>IF(OR(C88="",D88=""),"",IF(OR(C88="Barely",D88="Loud"),"RED",IF(OR(C88="Broken",D88="Noticeable"),"AMBER","GREEN")))</f>
        <v/>
      </c>
      <c r="F88" s="11" t="n"/>
      <c r="G88" s="11" t="n"/>
    </row>
    <row r="89">
      <c r="A89" s="9">
        <f>$B$4+82</f>
        <v/>
      </c>
      <c r="B89" s="10">
        <f>A89-$B$4+1</f>
        <v/>
      </c>
      <c r="C89" s="11" t="n"/>
      <c r="D89" s="11" t="n"/>
      <c r="E89" s="12">
        <f>IF(OR(C89="",D89=""),"",IF(OR(C89="Barely",D89="Loud"),"RED",IF(OR(C89="Broken",D89="Noticeable"),"AMBER","GREEN")))</f>
        <v/>
      </c>
      <c r="F89" s="11" t="n"/>
      <c r="G89" s="11" t="n"/>
    </row>
    <row r="90">
      <c r="A90" s="9">
        <f>$B$4+83</f>
        <v/>
      </c>
      <c r="B90" s="10">
        <f>A90-$B$4+1</f>
        <v/>
      </c>
      <c r="C90" s="11" t="n"/>
      <c r="D90" s="11" t="n"/>
      <c r="E90" s="12">
        <f>IF(OR(C90="",D90=""),"",IF(OR(C90="Barely",D90="Loud"),"RED",IF(OR(C90="Broken",D90="Noticeable"),"AMBER","GREEN")))</f>
        <v/>
      </c>
      <c r="F90" s="11" t="n"/>
      <c r="G90" s="11" t="n"/>
    </row>
    <row r="91">
      <c r="A91" s="9">
        <f>$B$4+84</f>
        <v/>
      </c>
      <c r="B91" s="10">
        <f>A91-$B$4+1</f>
        <v/>
      </c>
      <c r="C91" s="11" t="n"/>
      <c r="D91" s="11" t="n"/>
      <c r="E91" s="12">
        <f>IF(OR(C91="",D91=""),"",IF(OR(C91="Barely",D91="Loud"),"RED",IF(OR(C91="Broken",D91="Noticeable"),"AMBER","GREEN")))</f>
        <v/>
      </c>
      <c r="F91" s="11" t="n"/>
      <c r="G91" s="11" t="n"/>
    </row>
    <row r="92">
      <c r="A92" s="9">
        <f>$B$4+85</f>
        <v/>
      </c>
      <c r="B92" s="10">
        <f>A92-$B$4+1</f>
        <v/>
      </c>
      <c r="C92" s="11" t="n"/>
      <c r="D92" s="11" t="n"/>
      <c r="E92" s="12">
        <f>IF(OR(C92="",D92=""),"",IF(OR(C92="Barely",D92="Loud"),"RED",IF(OR(C92="Broken",D92="Noticeable"),"AMBER","GREEN")))</f>
        <v/>
      </c>
      <c r="F92" s="11" t="n"/>
      <c r="G92" s="11" t="n"/>
    </row>
    <row r="93">
      <c r="A93" s="9">
        <f>$B$4+86</f>
        <v/>
      </c>
      <c r="B93" s="10">
        <f>A93-$B$4+1</f>
        <v/>
      </c>
      <c r="C93" s="11" t="n"/>
      <c r="D93" s="11" t="n"/>
      <c r="E93" s="12">
        <f>IF(OR(C93="",D93=""),"",IF(OR(C93="Barely",D93="Loud"),"RED",IF(OR(C93="Broken",D93="Noticeable"),"AMBER","GREEN")))</f>
        <v/>
      </c>
      <c r="F93" s="11" t="n"/>
      <c r="G93" s="11" t="n"/>
    </row>
    <row r="94">
      <c r="A94" s="9">
        <f>$B$4+87</f>
        <v/>
      </c>
      <c r="B94" s="10">
        <f>A94-$B$4+1</f>
        <v/>
      </c>
      <c r="C94" s="11" t="n"/>
      <c r="D94" s="11" t="n"/>
      <c r="E94" s="12">
        <f>IF(OR(C94="",D94=""),"",IF(OR(C94="Barely",D94="Loud"),"RED",IF(OR(C94="Broken",D94="Noticeable"),"AMBER","GREEN")))</f>
        <v/>
      </c>
      <c r="F94" s="11" t="n"/>
      <c r="G94" s="11" t="n"/>
    </row>
    <row r="95">
      <c r="A95" s="9">
        <f>$B$4+88</f>
        <v/>
      </c>
      <c r="B95" s="10">
        <f>A95-$B$4+1</f>
        <v/>
      </c>
      <c r="C95" s="11" t="n"/>
      <c r="D95" s="11" t="n"/>
      <c r="E95" s="12">
        <f>IF(OR(C95="",D95=""),"",IF(OR(C95="Barely",D95="Loud"),"RED",IF(OR(C95="Broken",D95="Noticeable"),"AMBER","GREEN")))</f>
        <v/>
      </c>
      <c r="F95" s="11" t="n"/>
      <c r="G95" s="11" t="n"/>
    </row>
    <row r="96">
      <c r="A96" s="9">
        <f>$B$4+89</f>
        <v/>
      </c>
      <c r="B96" s="10">
        <f>A96-$B$4+1</f>
        <v/>
      </c>
      <c r="C96" s="11" t="n"/>
      <c r="D96" s="11" t="n"/>
      <c r="E96" s="12">
        <f>IF(OR(C96="",D96=""),"",IF(OR(C96="Barely",D96="Loud"),"RED",IF(OR(C96="Broken",D96="Noticeable"),"AMBER","GREEN")))</f>
        <v/>
      </c>
      <c r="F96" s="11" t="n"/>
      <c r="G96" s="11" t="n"/>
    </row>
    <row r="97">
      <c r="A97" s="9">
        <f>$B$4+90</f>
        <v/>
      </c>
      <c r="B97" s="10">
        <f>A97-$B$4+1</f>
        <v/>
      </c>
      <c r="C97" s="11" t="n"/>
      <c r="D97" s="11" t="n"/>
      <c r="E97" s="12">
        <f>IF(OR(C97="",D97=""),"",IF(OR(C97="Barely",D97="Loud"),"RED",IF(OR(C97="Broken",D97="Noticeable"),"AMBER","GREEN")))</f>
        <v/>
      </c>
      <c r="F97" s="11" t="n"/>
      <c r="G97" s="11" t="n"/>
    </row>
    <row r="98">
      <c r="A98" s="9">
        <f>$B$4+91</f>
        <v/>
      </c>
      <c r="B98" s="10">
        <f>A98-$B$4+1</f>
        <v/>
      </c>
      <c r="C98" s="11" t="n"/>
      <c r="D98" s="11" t="n"/>
      <c r="E98" s="12">
        <f>IF(OR(C98="",D98=""),"",IF(OR(C98="Barely",D98="Loud"),"RED",IF(OR(C98="Broken",D98="Noticeable"),"AMBER","GREEN")))</f>
        <v/>
      </c>
      <c r="F98" s="11" t="n"/>
      <c r="G98" s="11" t="n"/>
    </row>
    <row r="99">
      <c r="A99" s="9">
        <f>$B$4+92</f>
        <v/>
      </c>
      <c r="B99" s="10">
        <f>A99-$B$4+1</f>
        <v/>
      </c>
      <c r="C99" s="11" t="n"/>
      <c r="D99" s="11" t="n"/>
      <c r="E99" s="12">
        <f>IF(OR(C99="",D99=""),"",IF(OR(C99="Barely",D99="Loud"),"RED",IF(OR(C99="Broken",D99="Noticeable"),"AMBER","GREEN")))</f>
        <v/>
      </c>
      <c r="F99" s="11" t="n"/>
      <c r="G99" s="11" t="n"/>
    </row>
    <row r="100">
      <c r="A100" s="9">
        <f>$B$4+93</f>
        <v/>
      </c>
      <c r="B100" s="10">
        <f>A100-$B$4+1</f>
        <v/>
      </c>
      <c r="C100" s="11" t="n"/>
      <c r="D100" s="11" t="n"/>
      <c r="E100" s="12">
        <f>IF(OR(C100="",D100=""),"",IF(OR(C100="Barely",D100="Loud"),"RED",IF(OR(C100="Broken",D100="Noticeable"),"AMBER","GREEN")))</f>
        <v/>
      </c>
      <c r="F100" s="11" t="n"/>
      <c r="G100" s="11" t="n"/>
    </row>
    <row r="101">
      <c r="A101" s="9">
        <f>$B$4+94</f>
        <v/>
      </c>
      <c r="B101" s="10">
        <f>A101-$B$4+1</f>
        <v/>
      </c>
      <c r="C101" s="11" t="n"/>
      <c r="D101" s="11" t="n"/>
      <c r="E101" s="12">
        <f>IF(OR(C101="",D101=""),"",IF(OR(C101="Barely",D101="Loud"),"RED",IF(OR(C101="Broken",D101="Noticeable"),"AMBER","GREEN")))</f>
        <v/>
      </c>
      <c r="F101" s="11" t="n"/>
      <c r="G101" s="11" t="n"/>
    </row>
    <row r="102">
      <c r="A102" s="9">
        <f>$B$4+95</f>
        <v/>
      </c>
      <c r="B102" s="10">
        <f>A102-$B$4+1</f>
        <v/>
      </c>
      <c r="C102" s="11" t="n"/>
      <c r="D102" s="11" t="n"/>
      <c r="E102" s="12">
        <f>IF(OR(C102="",D102=""),"",IF(OR(C102="Barely",D102="Loud"),"RED",IF(OR(C102="Broken",D102="Noticeable"),"AMBER","GREEN")))</f>
        <v/>
      </c>
      <c r="F102" s="11" t="n"/>
      <c r="G102" s="11" t="n"/>
    </row>
    <row r="103">
      <c r="A103" s="9">
        <f>$B$4+96</f>
        <v/>
      </c>
      <c r="B103" s="10">
        <f>A103-$B$4+1</f>
        <v/>
      </c>
      <c r="C103" s="11" t="n"/>
      <c r="D103" s="11" t="n"/>
      <c r="E103" s="12">
        <f>IF(OR(C103="",D103=""),"",IF(OR(C103="Barely",D103="Loud"),"RED",IF(OR(C103="Broken",D103="Noticeable"),"AMBER","GREEN")))</f>
        <v/>
      </c>
      <c r="F103" s="11" t="n"/>
      <c r="G103" s="11" t="n"/>
    </row>
    <row r="104">
      <c r="A104" s="9">
        <f>$B$4+97</f>
        <v/>
      </c>
      <c r="B104" s="10">
        <f>A104-$B$4+1</f>
        <v/>
      </c>
      <c r="C104" s="11" t="n"/>
      <c r="D104" s="11" t="n"/>
      <c r="E104" s="12">
        <f>IF(OR(C104="",D104=""),"",IF(OR(C104="Barely",D104="Loud"),"RED",IF(OR(C104="Broken",D104="Noticeable"),"AMBER","GREEN")))</f>
        <v/>
      </c>
      <c r="F104" s="11" t="n"/>
      <c r="G104" s="11" t="n"/>
    </row>
    <row r="105">
      <c r="A105" s="9">
        <f>$B$4+98</f>
        <v/>
      </c>
      <c r="B105" s="10">
        <f>A105-$B$4+1</f>
        <v/>
      </c>
      <c r="C105" s="11" t="n"/>
      <c r="D105" s="11" t="n"/>
      <c r="E105" s="12">
        <f>IF(OR(C105="",D105=""),"",IF(OR(C105="Barely",D105="Loud"),"RED",IF(OR(C105="Broken",D105="Noticeable"),"AMBER","GREEN")))</f>
        <v/>
      </c>
      <c r="F105" s="11" t="n"/>
      <c r="G105" s="11" t="n"/>
    </row>
    <row r="106">
      <c r="A106" s="9">
        <f>$B$4+99</f>
        <v/>
      </c>
      <c r="B106" s="10">
        <f>A106-$B$4+1</f>
        <v/>
      </c>
      <c r="C106" s="11" t="n"/>
      <c r="D106" s="11" t="n"/>
      <c r="E106" s="12">
        <f>IF(OR(C106="",D106=""),"",IF(OR(C106="Barely",D106="Loud"),"RED",IF(OR(C106="Broken",D106="Noticeable"),"AMBER","GREEN")))</f>
        <v/>
      </c>
      <c r="F106" s="11" t="n"/>
      <c r="G106" s="11" t="n"/>
    </row>
  </sheetData>
  <conditionalFormatting sqref="E7:E106">
    <cfRule type="cellIs" priority="1" operator="equal" dxfId="0">
      <formula>"GREEN"</formula>
    </cfRule>
    <cfRule type="cellIs" priority="2" operator="equal" dxfId="1">
      <formula>"AMBER"</formula>
    </cfRule>
    <cfRule type="cellIs" priority="3" operator="equal" dxfId="2">
      <formula>"RED"</formula>
    </cfRule>
  </conditionalFormatting>
  <dataValidations count="3">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1" type="list">
      <formula1>=Lists!$A$1:$A$3</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1" type="list">
      <formula1>=Lists!$B$1:$B$3</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1" type="list">
      <formula1>=Lists!$C$1:$C$3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4"/>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2" customWidth="1" min="3" max="3"/>
    <col width="11" customWidth="1" min="4" max="4"/>
    <col width="30" customWidth="1" min="5" max="5"/>
    <col width="11" customWidth="1" min="6" max="6"/>
    <col width="9" customWidth="1" min="7" max="7"/>
    <col width="8" customWidth="1" min="8" max="8"/>
    <col width="13" customWidth="1" min="9" max="9"/>
    <col width="30" customWidth="1" min="10" max="10"/>
  </cols>
  <sheetData>
    <row r="1">
      <c r="A1" s="1" t="inlineStr">
        <is>
          <t>TRAINING LOG</t>
        </is>
      </c>
    </row>
    <row r="2">
      <c r="A2" s="2" t="inlineStr">
        <is>
          <t>One row per set, or one row per exercise using your top set. Estimated 1RM calculates itself.</t>
        </is>
      </c>
    </row>
    <row r="4" ht="20" customHeight="1">
      <c r="A4" s="8" t="inlineStr">
        <is>
          <t>Date</t>
        </is>
      </c>
      <c r="B4" s="8" t="inlineStr">
        <is>
          <t>Sober day</t>
        </is>
      </c>
      <c r="C4" s="8" t="inlineStr">
        <is>
          <t>Phase</t>
        </is>
      </c>
      <c r="D4" s="8" t="inlineStr">
        <is>
          <t>Session</t>
        </is>
      </c>
      <c r="E4" s="8" t="inlineStr">
        <is>
          <t>Exercise</t>
        </is>
      </c>
      <c r="F4" s="8" t="inlineStr">
        <is>
          <t>Weight</t>
        </is>
      </c>
      <c r="G4" s="8" t="inlineStr">
        <is>
          <t>Reps</t>
        </is>
      </c>
      <c r="H4" s="8" t="inlineStr">
        <is>
          <t>RPE</t>
        </is>
      </c>
      <c r="I4" s="8" t="inlineStr">
        <is>
          <t>Est. 1RM</t>
        </is>
      </c>
      <c r="J4" s="8" t="inlineStr">
        <is>
          <t>Notes</t>
        </is>
      </c>
    </row>
    <row r="5">
      <c r="A5" s="13" t="n"/>
      <c r="B5" s="10">
        <f>IF(A5="","",A5-'Daily Check-In'!$B$4+1)</f>
        <v/>
      </c>
      <c r="C5" s="11" t="n"/>
      <c r="D5" s="11" t="n"/>
      <c r="E5" s="11" t="n"/>
      <c r="F5" s="14" t="n"/>
      <c r="G5" s="14" t="n"/>
      <c r="H5" s="14" t="n"/>
      <c r="I5" s="10">
        <f>IF(OR(F5="",G5=""),"",ROUND(F5*(1+G5/30),1))</f>
        <v/>
      </c>
      <c r="J5" s="11" t="n"/>
    </row>
    <row r="6">
      <c r="A6" s="13" t="n"/>
      <c r="B6" s="10">
        <f>IF(A6="","",A6-'Daily Check-In'!$B$4+1)</f>
        <v/>
      </c>
      <c r="C6" s="11" t="n"/>
      <c r="D6" s="11" t="n"/>
      <c r="E6" s="11" t="n"/>
      <c r="F6" s="14" t="n"/>
      <c r="G6" s="14" t="n"/>
      <c r="H6" s="14" t="n"/>
      <c r="I6" s="10">
        <f>IF(OR(F6="",G6=""),"",ROUND(F6*(1+G6/30),1))</f>
        <v/>
      </c>
      <c r="J6" s="11" t="n"/>
    </row>
    <row r="7">
      <c r="A7" s="13" t="n"/>
      <c r="B7" s="10">
        <f>IF(A7="","",A7-'Daily Check-In'!$B$4+1)</f>
        <v/>
      </c>
      <c r="C7" s="11" t="n"/>
      <c r="D7" s="11" t="n"/>
      <c r="E7" s="11" t="n"/>
      <c r="F7" s="14" t="n"/>
      <c r="G7" s="14" t="n"/>
      <c r="H7" s="14" t="n"/>
      <c r="I7" s="10">
        <f>IF(OR(F7="",G7=""),"",ROUND(F7*(1+G7/30),1))</f>
        <v/>
      </c>
      <c r="J7" s="11" t="n"/>
    </row>
    <row r="8">
      <c r="A8" s="13" t="n"/>
      <c r="B8" s="10">
        <f>IF(A8="","",A8-'Daily Check-In'!$B$4+1)</f>
        <v/>
      </c>
      <c r="C8" s="11" t="n"/>
      <c r="D8" s="11" t="n"/>
      <c r="E8" s="11" t="n"/>
      <c r="F8" s="14" t="n"/>
      <c r="G8" s="14" t="n"/>
      <c r="H8" s="14" t="n"/>
      <c r="I8" s="10">
        <f>IF(OR(F8="",G8=""),"",ROUND(F8*(1+G8/30),1))</f>
        <v/>
      </c>
      <c r="J8" s="11" t="n"/>
    </row>
    <row r="9">
      <c r="A9" s="13" t="n"/>
      <c r="B9" s="10">
        <f>IF(A9="","",A9-'Daily Check-In'!$B$4+1)</f>
        <v/>
      </c>
      <c r="C9" s="11" t="n"/>
      <c r="D9" s="11" t="n"/>
      <c r="E9" s="11" t="n"/>
      <c r="F9" s="14" t="n"/>
      <c r="G9" s="14" t="n"/>
      <c r="H9" s="14" t="n"/>
      <c r="I9" s="10">
        <f>IF(OR(F9="",G9=""),"",ROUND(F9*(1+G9/30),1))</f>
        <v/>
      </c>
      <c r="J9" s="11" t="n"/>
    </row>
    <row r="10">
      <c r="A10" s="13" t="n"/>
      <c r="B10" s="10">
        <f>IF(A10="","",A10-'Daily Check-In'!$B$4+1)</f>
        <v/>
      </c>
      <c r="C10" s="11" t="n"/>
      <c r="D10" s="11" t="n"/>
      <c r="E10" s="11" t="n"/>
      <c r="F10" s="14" t="n"/>
      <c r="G10" s="14" t="n"/>
      <c r="H10" s="14" t="n"/>
      <c r="I10" s="10">
        <f>IF(OR(F10="",G10=""),"",ROUND(F10*(1+G10/30),1))</f>
        <v/>
      </c>
      <c r="J10" s="11" t="n"/>
    </row>
    <row r="11">
      <c r="A11" s="13" t="n"/>
      <c r="B11" s="10">
        <f>IF(A11="","",A11-'Daily Check-In'!$B$4+1)</f>
        <v/>
      </c>
      <c r="C11" s="11" t="n"/>
      <c r="D11" s="11" t="n"/>
      <c r="E11" s="11" t="n"/>
      <c r="F11" s="14" t="n"/>
      <c r="G11" s="14" t="n"/>
      <c r="H11" s="14" t="n"/>
      <c r="I11" s="10">
        <f>IF(OR(F11="",G11=""),"",ROUND(F11*(1+G11/30),1))</f>
        <v/>
      </c>
      <c r="J11" s="11" t="n"/>
    </row>
    <row r="12">
      <c r="A12" s="13" t="n"/>
      <c r="B12" s="10">
        <f>IF(A12="","",A12-'Daily Check-In'!$B$4+1)</f>
        <v/>
      </c>
      <c r="C12" s="11" t="n"/>
      <c r="D12" s="11" t="n"/>
      <c r="E12" s="11" t="n"/>
      <c r="F12" s="14" t="n"/>
      <c r="G12" s="14" t="n"/>
      <c r="H12" s="14" t="n"/>
      <c r="I12" s="10">
        <f>IF(OR(F12="",G12=""),"",ROUND(F12*(1+G12/30),1))</f>
        <v/>
      </c>
      <c r="J12" s="11" t="n"/>
    </row>
    <row r="13">
      <c r="A13" s="13" t="n"/>
      <c r="B13" s="10">
        <f>IF(A13="","",A13-'Daily Check-In'!$B$4+1)</f>
        <v/>
      </c>
      <c r="C13" s="11" t="n"/>
      <c r="D13" s="11" t="n"/>
      <c r="E13" s="11" t="n"/>
      <c r="F13" s="14" t="n"/>
      <c r="G13" s="14" t="n"/>
      <c r="H13" s="14" t="n"/>
      <c r="I13" s="10">
        <f>IF(OR(F13="",G13=""),"",ROUND(F13*(1+G13/30),1))</f>
        <v/>
      </c>
      <c r="J13" s="11" t="n"/>
    </row>
    <row r="14">
      <c r="A14" s="13" t="n"/>
      <c r="B14" s="10">
        <f>IF(A14="","",A14-'Daily Check-In'!$B$4+1)</f>
        <v/>
      </c>
      <c r="C14" s="11" t="n"/>
      <c r="D14" s="11" t="n"/>
      <c r="E14" s="11" t="n"/>
      <c r="F14" s="14" t="n"/>
      <c r="G14" s="14" t="n"/>
      <c r="H14" s="14" t="n"/>
      <c r="I14" s="10">
        <f>IF(OR(F14="",G14=""),"",ROUND(F14*(1+G14/30),1))</f>
        <v/>
      </c>
      <c r="J14" s="11" t="n"/>
    </row>
    <row r="15">
      <c r="A15" s="13" t="n"/>
      <c r="B15" s="10">
        <f>IF(A15="","",A15-'Daily Check-In'!$B$4+1)</f>
        <v/>
      </c>
      <c r="C15" s="11" t="n"/>
      <c r="D15" s="11" t="n"/>
      <c r="E15" s="11" t="n"/>
      <c r="F15" s="14" t="n"/>
      <c r="G15" s="14" t="n"/>
      <c r="H15" s="14" t="n"/>
      <c r="I15" s="10">
        <f>IF(OR(F15="",G15=""),"",ROUND(F15*(1+G15/30),1))</f>
        <v/>
      </c>
      <c r="J15" s="11" t="n"/>
    </row>
    <row r="16">
      <c r="A16" s="13" t="n"/>
      <c r="B16" s="10">
        <f>IF(A16="","",A16-'Daily Check-In'!$B$4+1)</f>
        <v/>
      </c>
      <c r="C16" s="11" t="n"/>
      <c r="D16" s="11" t="n"/>
      <c r="E16" s="11" t="n"/>
      <c r="F16" s="14" t="n"/>
      <c r="G16" s="14" t="n"/>
      <c r="H16" s="14" t="n"/>
      <c r="I16" s="10">
        <f>IF(OR(F16="",G16=""),"",ROUND(F16*(1+G16/30),1))</f>
        <v/>
      </c>
      <c r="J16" s="11" t="n"/>
    </row>
    <row r="17">
      <c r="A17" s="13" t="n"/>
      <c r="B17" s="10">
        <f>IF(A17="","",A17-'Daily Check-In'!$B$4+1)</f>
        <v/>
      </c>
      <c r="C17" s="11" t="n"/>
      <c r="D17" s="11" t="n"/>
      <c r="E17" s="11" t="n"/>
      <c r="F17" s="14" t="n"/>
      <c r="G17" s="14" t="n"/>
      <c r="H17" s="14" t="n"/>
      <c r="I17" s="10">
        <f>IF(OR(F17="",G17=""),"",ROUND(F17*(1+G17/30),1))</f>
        <v/>
      </c>
      <c r="J17" s="11" t="n"/>
    </row>
    <row r="18">
      <c r="A18" s="13" t="n"/>
      <c r="B18" s="10">
        <f>IF(A18="","",A18-'Daily Check-In'!$B$4+1)</f>
        <v/>
      </c>
      <c r="C18" s="11" t="n"/>
      <c r="D18" s="11" t="n"/>
      <c r="E18" s="11" t="n"/>
      <c r="F18" s="14" t="n"/>
      <c r="G18" s="14" t="n"/>
      <c r="H18" s="14" t="n"/>
      <c r="I18" s="10">
        <f>IF(OR(F18="",G18=""),"",ROUND(F18*(1+G18/30),1))</f>
        <v/>
      </c>
      <c r="J18" s="11" t="n"/>
    </row>
    <row r="19">
      <c r="A19" s="13" t="n"/>
      <c r="B19" s="10">
        <f>IF(A19="","",A19-'Daily Check-In'!$B$4+1)</f>
        <v/>
      </c>
      <c r="C19" s="11" t="n"/>
      <c r="D19" s="11" t="n"/>
      <c r="E19" s="11" t="n"/>
      <c r="F19" s="14" t="n"/>
      <c r="G19" s="14" t="n"/>
      <c r="H19" s="14" t="n"/>
      <c r="I19" s="10">
        <f>IF(OR(F19="",G19=""),"",ROUND(F19*(1+G19/30),1))</f>
        <v/>
      </c>
      <c r="J19" s="11" t="n"/>
    </row>
    <row r="20">
      <c r="A20" s="13" t="n"/>
      <c r="B20" s="10">
        <f>IF(A20="","",A20-'Daily Check-In'!$B$4+1)</f>
        <v/>
      </c>
      <c r="C20" s="11" t="n"/>
      <c r="D20" s="11" t="n"/>
      <c r="E20" s="11" t="n"/>
      <c r="F20" s="14" t="n"/>
      <c r="G20" s="14" t="n"/>
      <c r="H20" s="14" t="n"/>
      <c r="I20" s="10">
        <f>IF(OR(F20="",G20=""),"",ROUND(F20*(1+G20/30),1))</f>
        <v/>
      </c>
      <c r="J20" s="11" t="n"/>
    </row>
    <row r="21">
      <c r="A21" s="13" t="n"/>
      <c r="B21" s="10">
        <f>IF(A21="","",A21-'Daily Check-In'!$B$4+1)</f>
        <v/>
      </c>
      <c r="C21" s="11" t="n"/>
      <c r="D21" s="11" t="n"/>
      <c r="E21" s="11" t="n"/>
      <c r="F21" s="14" t="n"/>
      <c r="G21" s="14" t="n"/>
      <c r="H21" s="14" t="n"/>
      <c r="I21" s="10">
        <f>IF(OR(F21="",G21=""),"",ROUND(F21*(1+G21/30),1))</f>
        <v/>
      </c>
      <c r="J21" s="11" t="n"/>
    </row>
    <row r="22">
      <c r="A22" s="13" t="n"/>
      <c r="B22" s="10">
        <f>IF(A22="","",A22-'Daily Check-In'!$B$4+1)</f>
        <v/>
      </c>
      <c r="C22" s="11" t="n"/>
      <c r="D22" s="11" t="n"/>
      <c r="E22" s="11" t="n"/>
      <c r="F22" s="14" t="n"/>
      <c r="G22" s="14" t="n"/>
      <c r="H22" s="14" t="n"/>
      <c r="I22" s="10">
        <f>IF(OR(F22="",G22=""),"",ROUND(F22*(1+G22/30),1))</f>
        <v/>
      </c>
      <c r="J22" s="11" t="n"/>
    </row>
    <row r="23">
      <c r="A23" s="13" t="n"/>
      <c r="B23" s="10">
        <f>IF(A23="","",A23-'Daily Check-In'!$B$4+1)</f>
        <v/>
      </c>
      <c r="C23" s="11" t="n"/>
      <c r="D23" s="11" t="n"/>
      <c r="E23" s="11" t="n"/>
      <c r="F23" s="14" t="n"/>
      <c r="G23" s="14" t="n"/>
      <c r="H23" s="14" t="n"/>
      <c r="I23" s="10">
        <f>IF(OR(F23="",G23=""),"",ROUND(F23*(1+G23/30),1))</f>
        <v/>
      </c>
      <c r="J23" s="11" t="n"/>
    </row>
    <row r="24">
      <c r="A24" s="13" t="n"/>
      <c r="B24" s="10">
        <f>IF(A24="","",A24-'Daily Check-In'!$B$4+1)</f>
        <v/>
      </c>
      <c r="C24" s="11" t="n"/>
      <c r="D24" s="11" t="n"/>
      <c r="E24" s="11" t="n"/>
      <c r="F24" s="14" t="n"/>
      <c r="G24" s="14" t="n"/>
      <c r="H24" s="14" t="n"/>
      <c r="I24" s="10">
        <f>IF(OR(F24="",G24=""),"",ROUND(F24*(1+G24/30),1))</f>
        <v/>
      </c>
      <c r="J24" s="11" t="n"/>
    </row>
    <row r="25">
      <c r="A25" s="13" t="n"/>
      <c r="B25" s="10">
        <f>IF(A25="","",A25-'Daily Check-In'!$B$4+1)</f>
        <v/>
      </c>
      <c r="C25" s="11" t="n"/>
      <c r="D25" s="11" t="n"/>
      <c r="E25" s="11" t="n"/>
      <c r="F25" s="14" t="n"/>
      <c r="G25" s="14" t="n"/>
      <c r="H25" s="14" t="n"/>
      <c r="I25" s="10">
        <f>IF(OR(F25="",G25=""),"",ROUND(F25*(1+G25/30),1))</f>
        <v/>
      </c>
      <c r="J25" s="11" t="n"/>
    </row>
    <row r="26">
      <c r="A26" s="13" t="n"/>
      <c r="B26" s="10">
        <f>IF(A26="","",A26-'Daily Check-In'!$B$4+1)</f>
        <v/>
      </c>
      <c r="C26" s="11" t="n"/>
      <c r="D26" s="11" t="n"/>
      <c r="E26" s="11" t="n"/>
      <c r="F26" s="14" t="n"/>
      <c r="G26" s="14" t="n"/>
      <c r="H26" s="14" t="n"/>
      <c r="I26" s="10">
        <f>IF(OR(F26="",G26=""),"",ROUND(F26*(1+G26/30),1))</f>
        <v/>
      </c>
      <c r="J26" s="11" t="n"/>
    </row>
    <row r="27">
      <c r="A27" s="13" t="n"/>
      <c r="B27" s="10">
        <f>IF(A27="","",A27-'Daily Check-In'!$B$4+1)</f>
        <v/>
      </c>
      <c r="C27" s="11" t="n"/>
      <c r="D27" s="11" t="n"/>
      <c r="E27" s="11" t="n"/>
      <c r="F27" s="14" t="n"/>
      <c r="G27" s="14" t="n"/>
      <c r="H27" s="14" t="n"/>
      <c r="I27" s="10">
        <f>IF(OR(F27="",G27=""),"",ROUND(F27*(1+G27/30),1))</f>
        <v/>
      </c>
      <c r="J27" s="11" t="n"/>
    </row>
    <row r="28">
      <c r="A28" s="13" t="n"/>
      <c r="B28" s="10">
        <f>IF(A28="","",A28-'Daily Check-In'!$B$4+1)</f>
        <v/>
      </c>
      <c r="C28" s="11" t="n"/>
      <c r="D28" s="11" t="n"/>
      <c r="E28" s="11" t="n"/>
      <c r="F28" s="14" t="n"/>
      <c r="G28" s="14" t="n"/>
      <c r="H28" s="14" t="n"/>
      <c r="I28" s="10">
        <f>IF(OR(F28="",G28=""),"",ROUND(F28*(1+G28/30),1))</f>
        <v/>
      </c>
      <c r="J28" s="11" t="n"/>
    </row>
    <row r="29">
      <c r="A29" s="13" t="n"/>
      <c r="B29" s="10">
        <f>IF(A29="","",A29-'Daily Check-In'!$B$4+1)</f>
        <v/>
      </c>
      <c r="C29" s="11" t="n"/>
      <c r="D29" s="11" t="n"/>
      <c r="E29" s="11" t="n"/>
      <c r="F29" s="14" t="n"/>
      <c r="G29" s="14" t="n"/>
      <c r="H29" s="14" t="n"/>
      <c r="I29" s="10">
        <f>IF(OR(F29="",G29=""),"",ROUND(F29*(1+G29/30),1))</f>
        <v/>
      </c>
      <c r="J29" s="11" t="n"/>
    </row>
    <row r="30">
      <c r="A30" s="13" t="n"/>
      <c r="B30" s="10">
        <f>IF(A30="","",A30-'Daily Check-In'!$B$4+1)</f>
        <v/>
      </c>
      <c r="C30" s="11" t="n"/>
      <c r="D30" s="11" t="n"/>
      <c r="E30" s="11" t="n"/>
      <c r="F30" s="14" t="n"/>
      <c r="G30" s="14" t="n"/>
      <c r="H30" s="14" t="n"/>
      <c r="I30" s="10">
        <f>IF(OR(F30="",G30=""),"",ROUND(F30*(1+G30/30),1))</f>
        <v/>
      </c>
      <c r="J30" s="11" t="n"/>
    </row>
    <row r="31">
      <c r="A31" s="13" t="n"/>
      <c r="B31" s="10">
        <f>IF(A31="","",A31-'Daily Check-In'!$B$4+1)</f>
        <v/>
      </c>
      <c r="C31" s="11" t="n"/>
      <c r="D31" s="11" t="n"/>
      <c r="E31" s="11" t="n"/>
      <c r="F31" s="14" t="n"/>
      <c r="G31" s="14" t="n"/>
      <c r="H31" s="14" t="n"/>
      <c r="I31" s="10">
        <f>IF(OR(F31="",G31=""),"",ROUND(F31*(1+G31/30),1))</f>
        <v/>
      </c>
      <c r="J31" s="11" t="n"/>
    </row>
    <row r="32">
      <c r="A32" s="13" t="n"/>
      <c r="B32" s="10">
        <f>IF(A32="","",A32-'Daily Check-In'!$B$4+1)</f>
        <v/>
      </c>
      <c r="C32" s="11" t="n"/>
      <c r="D32" s="11" t="n"/>
      <c r="E32" s="11" t="n"/>
      <c r="F32" s="14" t="n"/>
      <c r="G32" s="14" t="n"/>
      <c r="H32" s="14" t="n"/>
      <c r="I32" s="10">
        <f>IF(OR(F32="",G32=""),"",ROUND(F32*(1+G32/30),1))</f>
        <v/>
      </c>
      <c r="J32" s="11" t="n"/>
    </row>
    <row r="33">
      <c r="A33" s="13" t="n"/>
      <c r="B33" s="10">
        <f>IF(A33="","",A33-'Daily Check-In'!$B$4+1)</f>
        <v/>
      </c>
      <c r="C33" s="11" t="n"/>
      <c r="D33" s="11" t="n"/>
      <c r="E33" s="11" t="n"/>
      <c r="F33" s="14" t="n"/>
      <c r="G33" s="14" t="n"/>
      <c r="H33" s="14" t="n"/>
      <c r="I33" s="10">
        <f>IF(OR(F33="",G33=""),"",ROUND(F33*(1+G33/30),1))</f>
        <v/>
      </c>
      <c r="J33" s="11" t="n"/>
    </row>
    <row r="34">
      <c r="A34" s="13" t="n"/>
      <c r="B34" s="10">
        <f>IF(A34="","",A34-'Daily Check-In'!$B$4+1)</f>
        <v/>
      </c>
      <c r="C34" s="11" t="n"/>
      <c r="D34" s="11" t="n"/>
      <c r="E34" s="11" t="n"/>
      <c r="F34" s="14" t="n"/>
      <c r="G34" s="14" t="n"/>
      <c r="H34" s="14" t="n"/>
      <c r="I34" s="10">
        <f>IF(OR(F34="",G34=""),"",ROUND(F34*(1+G34/30),1))</f>
        <v/>
      </c>
      <c r="J34" s="11" t="n"/>
    </row>
    <row r="35">
      <c r="A35" s="13" t="n"/>
      <c r="B35" s="10">
        <f>IF(A35="","",A35-'Daily Check-In'!$B$4+1)</f>
        <v/>
      </c>
      <c r="C35" s="11" t="n"/>
      <c r="D35" s="11" t="n"/>
      <c r="E35" s="11" t="n"/>
      <c r="F35" s="14" t="n"/>
      <c r="G35" s="14" t="n"/>
      <c r="H35" s="14" t="n"/>
      <c r="I35" s="10">
        <f>IF(OR(F35="",G35=""),"",ROUND(F35*(1+G35/30),1))</f>
        <v/>
      </c>
      <c r="J35" s="11" t="n"/>
    </row>
    <row r="36">
      <c r="A36" s="13" t="n"/>
      <c r="B36" s="10">
        <f>IF(A36="","",A36-'Daily Check-In'!$B$4+1)</f>
        <v/>
      </c>
      <c r="C36" s="11" t="n"/>
      <c r="D36" s="11" t="n"/>
      <c r="E36" s="11" t="n"/>
      <c r="F36" s="14" t="n"/>
      <c r="G36" s="14" t="n"/>
      <c r="H36" s="14" t="n"/>
      <c r="I36" s="10">
        <f>IF(OR(F36="",G36=""),"",ROUND(F36*(1+G36/30),1))</f>
        <v/>
      </c>
      <c r="J36" s="11" t="n"/>
    </row>
    <row r="37">
      <c r="A37" s="13" t="n"/>
      <c r="B37" s="10">
        <f>IF(A37="","",A37-'Daily Check-In'!$B$4+1)</f>
        <v/>
      </c>
      <c r="C37" s="11" t="n"/>
      <c r="D37" s="11" t="n"/>
      <c r="E37" s="11" t="n"/>
      <c r="F37" s="14" t="n"/>
      <c r="G37" s="14" t="n"/>
      <c r="H37" s="14" t="n"/>
      <c r="I37" s="10">
        <f>IF(OR(F37="",G37=""),"",ROUND(F37*(1+G37/30),1))</f>
        <v/>
      </c>
      <c r="J37" s="11" t="n"/>
    </row>
    <row r="38">
      <c r="A38" s="13" t="n"/>
      <c r="B38" s="10">
        <f>IF(A38="","",A38-'Daily Check-In'!$B$4+1)</f>
        <v/>
      </c>
      <c r="C38" s="11" t="n"/>
      <c r="D38" s="11" t="n"/>
      <c r="E38" s="11" t="n"/>
      <c r="F38" s="14" t="n"/>
      <c r="G38" s="14" t="n"/>
      <c r="H38" s="14" t="n"/>
      <c r="I38" s="10">
        <f>IF(OR(F38="",G38=""),"",ROUND(F38*(1+G38/30),1))</f>
        <v/>
      </c>
      <c r="J38" s="11" t="n"/>
    </row>
    <row r="39">
      <c r="A39" s="13" t="n"/>
      <c r="B39" s="10">
        <f>IF(A39="","",A39-'Daily Check-In'!$B$4+1)</f>
        <v/>
      </c>
      <c r="C39" s="11" t="n"/>
      <c r="D39" s="11" t="n"/>
      <c r="E39" s="11" t="n"/>
      <c r="F39" s="14" t="n"/>
      <c r="G39" s="14" t="n"/>
      <c r="H39" s="14" t="n"/>
      <c r="I39" s="10">
        <f>IF(OR(F39="",G39=""),"",ROUND(F39*(1+G39/30),1))</f>
        <v/>
      </c>
      <c r="J39" s="11" t="n"/>
    </row>
    <row r="40">
      <c r="A40" s="13" t="n"/>
      <c r="B40" s="10">
        <f>IF(A40="","",A40-'Daily Check-In'!$B$4+1)</f>
        <v/>
      </c>
      <c r="C40" s="11" t="n"/>
      <c r="D40" s="11" t="n"/>
      <c r="E40" s="11" t="n"/>
      <c r="F40" s="14" t="n"/>
      <c r="G40" s="14" t="n"/>
      <c r="H40" s="14" t="n"/>
      <c r="I40" s="10">
        <f>IF(OR(F40="",G40=""),"",ROUND(F40*(1+G40/30),1))</f>
        <v/>
      </c>
      <c r="J40" s="11" t="n"/>
    </row>
    <row r="41">
      <c r="A41" s="13" t="n"/>
      <c r="B41" s="10">
        <f>IF(A41="","",A41-'Daily Check-In'!$B$4+1)</f>
        <v/>
      </c>
      <c r="C41" s="11" t="n"/>
      <c r="D41" s="11" t="n"/>
      <c r="E41" s="11" t="n"/>
      <c r="F41" s="14" t="n"/>
      <c r="G41" s="14" t="n"/>
      <c r="H41" s="14" t="n"/>
      <c r="I41" s="10">
        <f>IF(OR(F41="",G41=""),"",ROUND(F41*(1+G41/30),1))</f>
        <v/>
      </c>
      <c r="J41" s="11" t="n"/>
    </row>
    <row r="42">
      <c r="A42" s="13" t="n"/>
      <c r="B42" s="10">
        <f>IF(A42="","",A42-'Daily Check-In'!$B$4+1)</f>
        <v/>
      </c>
      <c r="C42" s="11" t="n"/>
      <c r="D42" s="11" t="n"/>
      <c r="E42" s="11" t="n"/>
      <c r="F42" s="14" t="n"/>
      <c r="G42" s="14" t="n"/>
      <c r="H42" s="14" t="n"/>
      <c r="I42" s="10">
        <f>IF(OR(F42="",G42=""),"",ROUND(F42*(1+G42/30),1))</f>
        <v/>
      </c>
      <c r="J42" s="11" t="n"/>
    </row>
    <row r="43">
      <c r="A43" s="13" t="n"/>
      <c r="B43" s="10">
        <f>IF(A43="","",A43-'Daily Check-In'!$B$4+1)</f>
        <v/>
      </c>
      <c r="C43" s="11" t="n"/>
      <c r="D43" s="11" t="n"/>
      <c r="E43" s="11" t="n"/>
      <c r="F43" s="14" t="n"/>
      <c r="G43" s="14" t="n"/>
      <c r="H43" s="14" t="n"/>
      <c r="I43" s="10">
        <f>IF(OR(F43="",G43=""),"",ROUND(F43*(1+G43/30),1))</f>
        <v/>
      </c>
      <c r="J43" s="11" t="n"/>
    </row>
    <row r="44">
      <c r="A44" s="13" t="n"/>
      <c r="B44" s="10">
        <f>IF(A44="","",A44-'Daily Check-In'!$B$4+1)</f>
        <v/>
      </c>
      <c r="C44" s="11" t="n"/>
      <c r="D44" s="11" t="n"/>
      <c r="E44" s="11" t="n"/>
      <c r="F44" s="14" t="n"/>
      <c r="G44" s="14" t="n"/>
      <c r="H44" s="14" t="n"/>
      <c r="I44" s="10">
        <f>IF(OR(F44="",G44=""),"",ROUND(F44*(1+G44/30),1))</f>
        <v/>
      </c>
      <c r="J44" s="11" t="n"/>
    </row>
    <row r="45">
      <c r="A45" s="13" t="n"/>
      <c r="B45" s="10">
        <f>IF(A45="","",A45-'Daily Check-In'!$B$4+1)</f>
        <v/>
      </c>
      <c r="C45" s="11" t="n"/>
      <c r="D45" s="11" t="n"/>
      <c r="E45" s="11" t="n"/>
      <c r="F45" s="14" t="n"/>
      <c r="G45" s="14" t="n"/>
      <c r="H45" s="14" t="n"/>
      <c r="I45" s="10">
        <f>IF(OR(F45="",G45=""),"",ROUND(F45*(1+G45/30),1))</f>
        <v/>
      </c>
      <c r="J45" s="11" t="n"/>
    </row>
    <row r="46">
      <c r="A46" s="13" t="n"/>
      <c r="B46" s="10">
        <f>IF(A46="","",A46-'Daily Check-In'!$B$4+1)</f>
        <v/>
      </c>
      <c r="C46" s="11" t="n"/>
      <c r="D46" s="11" t="n"/>
      <c r="E46" s="11" t="n"/>
      <c r="F46" s="14" t="n"/>
      <c r="G46" s="14" t="n"/>
      <c r="H46" s="14" t="n"/>
      <c r="I46" s="10">
        <f>IF(OR(F46="",G46=""),"",ROUND(F46*(1+G46/30),1))</f>
        <v/>
      </c>
      <c r="J46" s="11" t="n"/>
    </row>
    <row r="47">
      <c r="A47" s="13" t="n"/>
      <c r="B47" s="10">
        <f>IF(A47="","",A47-'Daily Check-In'!$B$4+1)</f>
        <v/>
      </c>
      <c r="C47" s="11" t="n"/>
      <c r="D47" s="11" t="n"/>
      <c r="E47" s="11" t="n"/>
      <c r="F47" s="14" t="n"/>
      <c r="G47" s="14" t="n"/>
      <c r="H47" s="14" t="n"/>
      <c r="I47" s="10">
        <f>IF(OR(F47="",G47=""),"",ROUND(F47*(1+G47/30),1))</f>
        <v/>
      </c>
      <c r="J47" s="11" t="n"/>
    </row>
    <row r="48">
      <c r="A48" s="13" t="n"/>
      <c r="B48" s="10">
        <f>IF(A48="","",A48-'Daily Check-In'!$B$4+1)</f>
        <v/>
      </c>
      <c r="C48" s="11" t="n"/>
      <c r="D48" s="11" t="n"/>
      <c r="E48" s="11" t="n"/>
      <c r="F48" s="14" t="n"/>
      <c r="G48" s="14" t="n"/>
      <c r="H48" s="14" t="n"/>
      <c r="I48" s="10">
        <f>IF(OR(F48="",G48=""),"",ROUND(F48*(1+G48/30),1))</f>
        <v/>
      </c>
      <c r="J48" s="11" t="n"/>
    </row>
    <row r="49">
      <c r="A49" s="13" t="n"/>
      <c r="B49" s="10">
        <f>IF(A49="","",A49-'Daily Check-In'!$B$4+1)</f>
        <v/>
      </c>
      <c r="C49" s="11" t="n"/>
      <c r="D49" s="11" t="n"/>
      <c r="E49" s="11" t="n"/>
      <c r="F49" s="14" t="n"/>
      <c r="G49" s="14" t="n"/>
      <c r="H49" s="14" t="n"/>
      <c r="I49" s="10">
        <f>IF(OR(F49="",G49=""),"",ROUND(F49*(1+G49/30),1))</f>
        <v/>
      </c>
      <c r="J49" s="11" t="n"/>
    </row>
    <row r="50">
      <c r="A50" s="13" t="n"/>
      <c r="B50" s="10">
        <f>IF(A50="","",A50-'Daily Check-In'!$B$4+1)</f>
        <v/>
      </c>
      <c r="C50" s="11" t="n"/>
      <c r="D50" s="11" t="n"/>
      <c r="E50" s="11" t="n"/>
      <c r="F50" s="14" t="n"/>
      <c r="G50" s="14" t="n"/>
      <c r="H50" s="14" t="n"/>
      <c r="I50" s="10">
        <f>IF(OR(F50="",G50=""),"",ROUND(F50*(1+G50/30),1))</f>
        <v/>
      </c>
      <c r="J50" s="11" t="n"/>
    </row>
    <row r="51">
      <c r="A51" s="13" t="n"/>
      <c r="B51" s="10">
        <f>IF(A51="","",A51-'Daily Check-In'!$B$4+1)</f>
        <v/>
      </c>
      <c r="C51" s="11" t="n"/>
      <c r="D51" s="11" t="n"/>
      <c r="E51" s="11" t="n"/>
      <c r="F51" s="14" t="n"/>
      <c r="G51" s="14" t="n"/>
      <c r="H51" s="14" t="n"/>
      <c r="I51" s="10">
        <f>IF(OR(F51="",G51=""),"",ROUND(F51*(1+G51/30),1))</f>
        <v/>
      </c>
      <c r="J51" s="11" t="n"/>
    </row>
    <row r="52">
      <c r="A52" s="13" t="n"/>
      <c r="B52" s="10">
        <f>IF(A52="","",A52-'Daily Check-In'!$B$4+1)</f>
        <v/>
      </c>
      <c r="C52" s="11" t="n"/>
      <c r="D52" s="11" t="n"/>
      <c r="E52" s="11" t="n"/>
      <c r="F52" s="14" t="n"/>
      <c r="G52" s="14" t="n"/>
      <c r="H52" s="14" t="n"/>
      <c r="I52" s="10">
        <f>IF(OR(F52="",G52=""),"",ROUND(F52*(1+G52/30),1))</f>
        <v/>
      </c>
      <c r="J52" s="11" t="n"/>
    </row>
    <row r="53">
      <c r="A53" s="13" t="n"/>
      <c r="B53" s="10">
        <f>IF(A53="","",A53-'Daily Check-In'!$B$4+1)</f>
        <v/>
      </c>
      <c r="C53" s="11" t="n"/>
      <c r="D53" s="11" t="n"/>
      <c r="E53" s="11" t="n"/>
      <c r="F53" s="14" t="n"/>
      <c r="G53" s="14" t="n"/>
      <c r="H53" s="14" t="n"/>
      <c r="I53" s="10">
        <f>IF(OR(F53="",G53=""),"",ROUND(F53*(1+G53/30),1))</f>
        <v/>
      </c>
      <c r="J53" s="11" t="n"/>
    </row>
    <row r="54">
      <c r="A54" s="13" t="n"/>
      <c r="B54" s="10">
        <f>IF(A54="","",A54-'Daily Check-In'!$B$4+1)</f>
        <v/>
      </c>
      <c r="C54" s="11" t="n"/>
      <c r="D54" s="11" t="n"/>
      <c r="E54" s="11" t="n"/>
      <c r="F54" s="14" t="n"/>
      <c r="G54" s="14" t="n"/>
      <c r="H54" s="14" t="n"/>
      <c r="I54" s="10">
        <f>IF(OR(F54="",G54=""),"",ROUND(F54*(1+G54/30),1))</f>
        <v/>
      </c>
      <c r="J54" s="11" t="n"/>
    </row>
    <row r="55">
      <c r="A55" s="13" t="n"/>
      <c r="B55" s="10">
        <f>IF(A55="","",A55-'Daily Check-In'!$B$4+1)</f>
        <v/>
      </c>
      <c r="C55" s="11" t="n"/>
      <c r="D55" s="11" t="n"/>
      <c r="E55" s="11" t="n"/>
      <c r="F55" s="14" t="n"/>
      <c r="G55" s="14" t="n"/>
      <c r="H55" s="14" t="n"/>
      <c r="I55" s="10">
        <f>IF(OR(F55="",G55=""),"",ROUND(F55*(1+G55/30),1))</f>
        <v/>
      </c>
      <c r="J55" s="11" t="n"/>
    </row>
    <row r="56">
      <c r="A56" s="13" t="n"/>
      <c r="B56" s="10">
        <f>IF(A56="","",A56-'Daily Check-In'!$B$4+1)</f>
        <v/>
      </c>
      <c r="C56" s="11" t="n"/>
      <c r="D56" s="11" t="n"/>
      <c r="E56" s="11" t="n"/>
      <c r="F56" s="14" t="n"/>
      <c r="G56" s="14" t="n"/>
      <c r="H56" s="14" t="n"/>
      <c r="I56" s="10">
        <f>IF(OR(F56="",G56=""),"",ROUND(F56*(1+G56/30),1))</f>
        <v/>
      </c>
      <c r="J56" s="11" t="n"/>
    </row>
    <row r="57">
      <c r="A57" s="13" t="n"/>
      <c r="B57" s="10">
        <f>IF(A57="","",A57-'Daily Check-In'!$B$4+1)</f>
        <v/>
      </c>
      <c r="C57" s="11" t="n"/>
      <c r="D57" s="11" t="n"/>
      <c r="E57" s="11" t="n"/>
      <c r="F57" s="14" t="n"/>
      <c r="G57" s="14" t="n"/>
      <c r="H57" s="14" t="n"/>
      <c r="I57" s="10">
        <f>IF(OR(F57="",G57=""),"",ROUND(F57*(1+G57/30),1))</f>
        <v/>
      </c>
      <c r="J57" s="11" t="n"/>
    </row>
    <row r="58">
      <c r="A58" s="13" t="n"/>
      <c r="B58" s="10">
        <f>IF(A58="","",A58-'Daily Check-In'!$B$4+1)</f>
        <v/>
      </c>
      <c r="C58" s="11" t="n"/>
      <c r="D58" s="11" t="n"/>
      <c r="E58" s="11" t="n"/>
      <c r="F58" s="14" t="n"/>
      <c r="G58" s="14" t="n"/>
      <c r="H58" s="14" t="n"/>
      <c r="I58" s="10">
        <f>IF(OR(F58="",G58=""),"",ROUND(F58*(1+G58/30),1))</f>
        <v/>
      </c>
      <c r="J58" s="11" t="n"/>
    </row>
    <row r="59">
      <c r="A59" s="13" t="n"/>
      <c r="B59" s="10">
        <f>IF(A59="","",A59-'Daily Check-In'!$B$4+1)</f>
        <v/>
      </c>
      <c r="C59" s="11" t="n"/>
      <c r="D59" s="11" t="n"/>
      <c r="E59" s="11" t="n"/>
      <c r="F59" s="14" t="n"/>
      <c r="G59" s="14" t="n"/>
      <c r="H59" s="14" t="n"/>
      <c r="I59" s="10">
        <f>IF(OR(F59="",G59=""),"",ROUND(F59*(1+G59/30),1))</f>
        <v/>
      </c>
      <c r="J59" s="11" t="n"/>
    </row>
    <row r="60">
      <c r="A60" s="13" t="n"/>
      <c r="B60" s="10">
        <f>IF(A60="","",A60-'Daily Check-In'!$B$4+1)</f>
        <v/>
      </c>
      <c r="C60" s="11" t="n"/>
      <c r="D60" s="11" t="n"/>
      <c r="E60" s="11" t="n"/>
      <c r="F60" s="14" t="n"/>
      <c r="G60" s="14" t="n"/>
      <c r="H60" s="14" t="n"/>
      <c r="I60" s="10">
        <f>IF(OR(F60="",G60=""),"",ROUND(F60*(1+G60/30),1))</f>
        <v/>
      </c>
      <c r="J60" s="11" t="n"/>
    </row>
    <row r="61">
      <c r="A61" s="13" t="n"/>
      <c r="B61" s="10">
        <f>IF(A61="","",A61-'Daily Check-In'!$B$4+1)</f>
        <v/>
      </c>
      <c r="C61" s="11" t="n"/>
      <c r="D61" s="11" t="n"/>
      <c r="E61" s="11" t="n"/>
      <c r="F61" s="14" t="n"/>
      <c r="G61" s="14" t="n"/>
      <c r="H61" s="14" t="n"/>
      <c r="I61" s="10">
        <f>IF(OR(F61="",G61=""),"",ROUND(F61*(1+G61/30),1))</f>
        <v/>
      </c>
      <c r="J61" s="11" t="n"/>
    </row>
    <row r="62">
      <c r="A62" s="13" t="n"/>
      <c r="B62" s="10">
        <f>IF(A62="","",A62-'Daily Check-In'!$B$4+1)</f>
        <v/>
      </c>
      <c r="C62" s="11" t="n"/>
      <c r="D62" s="11" t="n"/>
      <c r="E62" s="11" t="n"/>
      <c r="F62" s="14" t="n"/>
      <c r="G62" s="14" t="n"/>
      <c r="H62" s="14" t="n"/>
      <c r="I62" s="10">
        <f>IF(OR(F62="",G62=""),"",ROUND(F62*(1+G62/30),1))</f>
        <v/>
      </c>
      <c r="J62" s="11" t="n"/>
    </row>
    <row r="63">
      <c r="A63" s="13" t="n"/>
      <c r="B63" s="10">
        <f>IF(A63="","",A63-'Daily Check-In'!$B$4+1)</f>
        <v/>
      </c>
      <c r="C63" s="11" t="n"/>
      <c r="D63" s="11" t="n"/>
      <c r="E63" s="11" t="n"/>
      <c r="F63" s="14" t="n"/>
      <c r="G63" s="14" t="n"/>
      <c r="H63" s="14" t="n"/>
      <c r="I63" s="10">
        <f>IF(OR(F63="",G63=""),"",ROUND(F63*(1+G63/30),1))</f>
        <v/>
      </c>
      <c r="J63" s="11" t="n"/>
    </row>
    <row r="64">
      <c r="A64" s="13" t="n"/>
      <c r="B64" s="10">
        <f>IF(A64="","",A64-'Daily Check-In'!$B$4+1)</f>
        <v/>
      </c>
      <c r="C64" s="11" t="n"/>
      <c r="D64" s="11" t="n"/>
      <c r="E64" s="11" t="n"/>
      <c r="F64" s="14" t="n"/>
      <c r="G64" s="14" t="n"/>
      <c r="H64" s="14" t="n"/>
      <c r="I64" s="10">
        <f>IF(OR(F64="",G64=""),"",ROUND(F64*(1+G64/30),1))</f>
        <v/>
      </c>
      <c r="J64" s="11" t="n"/>
    </row>
    <row r="65">
      <c r="A65" s="13" t="n"/>
      <c r="B65" s="10">
        <f>IF(A65="","",A65-'Daily Check-In'!$B$4+1)</f>
        <v/>
      </c>
      <c r="C65" s="11" t="n"/>
      <c r="D65" s="11" t="n"/>
      <c r="E65" s="11" t="n"/>
      <c r="F65" s="14" t="n"/>
      <c r="G65" s="14" t="n"/>
      <c r="H65" s="14" t="n"/>
      <c r="I65" s="10">
        <f>IF(OR(F65="",G65=""),"",ROUND(F65*(1+G65/30),1))</f>
        <v/>
      </c>
      <c r="J65" s="11" t="n"/>
    </row>
    <row r="66">
      <c r="A66" s="13" t="n"/>
      <c r="B66" s="10">
        <f>IF(A66="","",A66-'Daily Check-In'!$B$4+1)</f>
        <v/>
      </c>
      <c r="C66" s="11" t="n"/>
      <c r="D66" s="11" t="n"/>
      <c r="E66" s="11" t="n"/>
      <c r="F66" s="14" t="n"/>
      <c r="G66" s="14" t="n"/>
      <c r="H66" s="14" t="n"/>
      <c r="I66" s="10">
        <f>IF(OR(F66="",G66=""),"",ROUND(F66*(1+G66/30),1))</f>
        <v/>
      </c>
      <c r="J66" s="11" t="n"/>
    </row>
    <row r="67">
      <c r="A67" s="13" t="n"/>
      <c r="B67" s="10">
        <f>IF(A67="","",A67-'Daily Check-In'!$B$4+1)</f>
        <v/>
      </c>
      <c r="C67" s="11" t="n"/>
      <c r="D67" s="11" t="n"/>
      <c r="E67" s="11" t="n"/>
      <c r="F67" s="14" t="n"/>
      <c r="G67" s="14" t="n"/>
      <c r="H67" s="14" t="n"/>
      <c r="I67" s="10">
        <f>IF(OR(F67="",G67=""),"",ROUND(F67*(1+G67/30),1))</f>
        <v/>
      </c>
      <c r="J67" s="11" t="n"/>
    </row>
    <row r="68">
      <c r="A68" s="13" t="n"/>
      <c r="B68" s="10">
        <f>IF(A68="","",A68-'Daily Check-In'!$B$4+1)</f>
        <v/>
      </c>
      <c r="C68" s="11" t="n"/>
      <c r="D68" s="11" t="n"/>
      <c r="E68" s="11" t="n"/>
      <c r="F68" s="14" t="n"/>
      <c r="G68" s="14" t="n"/>
      <c r="H68" s="14" t="n"/>
      <c r="I68" s="10">
        <f>IF(OR(F68="",G68=""),"",ROUND(F68*(1+G68/30),1))</f>
        <v/>
      </c>
      <c r="J68" s="11" t="n"/>
    </row>
    <row r="69">
      <c r="A69" s="13" t="n"/>
      <c r="B69" s="10">
        <f>IF(A69="","",A69-'Daily Check-In'!$B$4+1)</f>
        <v/>
      </c>
      <c r="C69" s="11" t="n"/>
      <c r="D69" s="11" t="n"/>
      <c r="E69" s="11" t="n"/>
      <c r="F69" s="14" t="n"/>
      <c r="G69" s="14" t="n"/>
      <c r="H69" s="14" t="n"/>
      <c r="I69" s="10">
        <f>IF(OR(F69="",G69=""),"",ROUND(F69*(1+G69/30),1))</f>
        <v/>
      </c>
      <c r="J69" s="11" t="n"/>
    </row>
    <row r="70">
      <c r="A70" s="13" t="n"/>
      <c r="B70" s="10">
        <f>IF(A70="","",A70-'Daily Check-In'!$B$4+1)</f>
        <v/>
      </c>
      <c r="C70" s="11" t="n"/>
      <c r="D70" s="11" t="n"/>
      <c r="E70" s="11" t="n"/>
      <c r="F70" s="14" t="n"/>
      <c r="G70" s="14" t="n"/>
      <c r="H70" s="14" t="n"/>
      <c r="I70" s="10">
        <f>IF(OR(F70="",G70=""),"",ROUND(F70*(1+G70/30),1))</f>
        <v/>
      </c>
      <c r="J70" s="11" t="n"/>
    </row>
    <row r="71">
      <c r="A71" s="13" t="n"/>
      <c r="B71" s="10">
        <f>IF(A71="","",A71-'Daily Check-In'!$B$4+1)</f>
        <v/>
      </c>
      <c r="C71" s="11" t="n"/>
      <c r="D71" s="11" t="n"/>
      <c r="E71" s="11" t="n"/>
      <c r="F71" s="14" t="n"/>
      <c r="G71" s="14" t="n"/>
      <c r="H71" s="14" t="n"/>
      <c r="I71" s="10">
        <f>IF(OR(F71="",G71=""),"",ROUND(F71*(1+G71/30),1))</f>
        <v/>
      </c>
      <c r="J71" s="11" t="n"/>
    </row>
    <row r="72">
      <c r="A72" s="13" t="n"/>
      <c r="B72" s="10">
        <f>IF(A72="","",A72-'Daily Check-In'!$B$4+1)</f>
        <v/>
      </c>
      <c r="C72" s="11" t="n"/>
      <c r="D72" s="11" t="n"/>
      <c r="E72" s="11" t="n"/>
      <c r="F72" s="14" t="n"/>
      <c r="G72" s="14" t="n"/>
      <c r="H72" s="14" t="n"/>
      <c r="I72" s="10">
        <f>IF(OR(F72="",G72=""),"",ROUND(F72*(1+G72/30),1))</f>
        <v/>
      </c>
      <c r="J72" s="11" t="n"/>
    </row>
    <row r="73">
      <c r="A73" s="13" t="n"/>
      <c r="B73" s="10">
        <f>IF(A73="","",A73-'Daily Check-In'!$B$4+1)</f>
        <v/>
      </c>
      <c r="C73" s="11" t="n"/>
      <c r="D73" s="11" t="n"/>
      <c r="E73" s="11" t="n"/>
      <c r="F73" s="14" t="n"/>
      <c r="G73" s="14" t="n"/>
      <c r="H73" s="14" t="n"/>
      <c r="I73" s="10">
        <f>IF(OR(F73="",G73=""),"",ROUND(F73*(1+G73/30),1))</f>
        <v/>
      </c>
      <c r="J73" s="11" t="n"/>
    </row>
    <row r="74">
      <c r="A74" s="13" t="n"/>
      <c r="B74" s="10">
        <f>IF(A74="","",A74-'Daily Check-In'!$B$4+1)</f>
        <v/>
      </c>
      <c r="C74" s="11" t="n"/>
      <c r="D74" s="11" t="n"/>
      <c r="E74" s="11" t="n"/>
      <c r="F74" s="14" t="n"/>
      <c r="G74" s="14" t="n"/>
      <c r="H74" s="14" t="n"/>
      <c r="I74" s="10">
        <f>IF(OR(F74="",G74=""),"",ROUND(F74*(1+G74/30),1))</f>
        <v/>
      </c>
      <c r="J74" s="11" t="n"/>
    </row>
    <row r="75">
      <c r="A75" s="13" t="n"/>
      <c r="B75" s="10">
        <f>IF(A75="","",A75-'Daily Check-In'!$B$4+1)</f>
        <v/>
      </c>
      <c r="C75" s="11" t="n"/>
      <c r="D75" s="11" t="n"/>
      <c r="E75" s="11" t="n"/>
      <c r="F75" s="14" t="n"/>
      <c r="G75" s="14" t="n"/>
      <c r="H75" s="14" t="n"/>
      <c r="I75" s="10">
        <f>IF(OR(F75="",G75=""),"",ROUND(F75*(1+G75/30),1))</f>
        <v/>
      </c>
      <c r="J75" s="11" t="n"/>
    </row>
    <row r="76">
      <c r="A76" s="13" t="n"/>
      <c r="B76" s="10">
        <f>IF(A76="","",A76-'Daily Check-In'!$B$4+1)</f>
        <v/>
      </c>
      <c r="C76" s="11" t="n"/>
      <c r="D76" s="11" t="n"/>
      <c r="E76" s="11" t="n"/>
      <c r="F76" s="14" t="n"/>
      <c r="G76" s="14" t="n"/>
      <c r="H76" s="14" t="n"/>
      <c r="I76" s="10">
        <f>IF(OR(F76="",G76=""),"",ROUND(F76*(1+G76/30),1))</f>
        <v/>
      </c>
      <c r="J76" s="11" t="n"/>
    </row>
    <row r="77">
      <c r="A77" s="13" t="n"/>
      <c r="B77" s="10">
        <f>IF(A77="","",A77-'Daily Check-In'!$B$4+1)</f>
        <v/>
      </c>
      <c r="C77" s="11" t="n"/>
      <c r="D77" s="11" t="n"/>
      <c r="E77" s="11" t="n"/>
      <c r="F77" s="14" t="n"/>
      <c r="G77" s="14" t="n"/>
      <c r="H77" s="14" t="n"/>
      <c r="I77" s="10">
        <f>IF(OR(F77="",G77=""),"",ROUND(F77*(1+G77/30),1))</f>
        <v/>
      </c>
      <c r="J77" s="11" t="n"/>
    </row>
    <row r="78">
      <c r="A78" s="13" t="n"/>
      <c r="B78" s="10">
        <f>IF(A78="","",A78-'Daily Check-In'!$B$4+1)</f>
        <v/>
      </c>
      <c r="C78" s="11" t="n"/>
      <c r="D78" s="11" t="n"/>
      <c r="E78" s="11" t="n"/>
      <c r="F78" s="14" t="n"/>
      <c r="G78" s="14" t="n"/>
      <c r="H78" s="14" t="n"/>
      <c r="I78" s="10">
        <f>IF(OR(F78="",G78=""),"",ROUND(F78*(1+G78/30),1))</f>
        <v/>
      </c>
      <c r="J78" s="11" t="n"/>
    </row>
    <row r="79">
      <c r="A79" s="13" t="n"/>
      <c r="B79" s="10">
        <f>IF(A79="","",A79-'Daily Check-In'!$B$4+1)</f>
        <v/>
      </c>
      <c r="C79" s="11" t="n"/>
      <c r="D79" s="11" t="n"/>
      <c r="E79" s="11" t="n"/>
      <c r="F79" s="14" t="n"/>
      <c r="G79" s="14" t="n"/>
      <c r="H79" s="14" t="n"/>
      <c r="I79" s="10">
        <f>IF(OR(F79="",G79=""),"",ROUND(F79*(1+G79/30),1))</f>
        <v/>
      </c>
      <c r="J79" s="11" t="n"/>
    </row>
    <row r="80">
      <c r="A80" s="13" t="n"/>
      <c r="B80" s="10">
        <f>IF(A80="","",A80-'Daily Check-In'!$B$4+1)</f>
        <v/>
      </c>
      <c r="C80" s="11" t="n"/>
      <c r="D80" s="11" t="n"/>
      <c r="E80" s="11" t="n"/>
      <c r="F80" s="14" t="n"/>
      <c r="G80" s="14" t="n"/>
      <c r="H80" s="14" t="n"/>
      <c r="I80" s="10">
        <f>IF(OR(F80="",G80=""),"",ROUND(F80*(1+G80/30),1))</f>
        <v/>
      </c>
      <c r="J80" s="11" t="n"/>
    </row>
    <row r="81">
      <c r="A81" s="13" t="n"/>
      <c r="B81" s="10">
        <f>IF(A81="","",A81-'Daily Check-In'!$B$4+1)</f>
        <v/>
      </c>
      <c r="C81" s="11" t="n"/>
      <c r="D81" s="11" t="n"/>
      <c r="E81" s="11" t="n"/>
      <c r="F81" s="14" t="n"/>
      <c r="G81" s="14" t="n"/>
      <c r="H81" s="14" t="n"/>
      <c r="I81" s="10">
        <f>IF(OR(F81="",G81=""),"",ROUND(F81*(1+G81/30),1))</f>
        <v/>
      </c>
      <c r="J81" s="11" t="n"/>
    </row>
    <row r="82">
      <c r="A82" s="13" t="n"/>
      <c r="B82" s="10">
        <f>IF(A82="","",A82-'Daily Check-In'!$B$4+1)</f>
        <v/>
      </c>
      <c r="C82" s="11" t="n"/>
      <c r="D82" s="11" t="n"/>
      <c r="E82" s="11" t="n"/>
      <c r="F82" s="14" t="n"/>
      <c r="G82" s="14" t="n"/>
      <c r="H82" s="14" t="n"/>
      <c r="I82" s="10">
        <f>IF(OR(F82="",G82=""),"",ROUND(F82*(1+G82/30),1))</f>
        <v/>
      </c>
      <c r="J82" s="11" t="n"/>
    </row>
    <row r="83">
      <c r="A83" s="13" t="n"/>
      <c r="B83" s="10">
        <f>IF(A83="","",A83-'Daily Check-In'!$B$4+1)</f>
        <v/>
      </c>
      <c r="C83" s="11" t="n"/>
      <c r="D83" s="11" t="n"/>
      <c r="E83" s="11" t="n"/>
      <c r="F83" s="14" t="n"/>
      <c r="G83" s="14" t="n"/>
      <c r="H83" s="14" t="n"/>
      <c r="I83" s="10">
        <f>IF(OR(F83="",G83=""),"",ROUND(F83*(1+G83/30),1))</f>
        <v/>
      </c>
      <c r="J83" s="11" t="n"/>
    </row>
    <row r="84">
      <c r="A84" s="13" t="n"/>
      <c r="B84" s="10">
        <f>IF(A84="","",A84-'Daily Check-In'!$B$4+1)</f>
        <v/>
      </c>
      <c r="C84" s="11" t="n"/>
      <c r="D84" s="11" t="n"/>
      <c r="E84" s="11" t="n"/>
      <c r="F84" s="14" t="n"/>
      <c r="G84" s="14" t="n"/>
      <c r="H84" s="14" t="n"/>
      <c r="I84" s="10">
        <f>IF(OR(F84="",G84=""),"",ROUND(F84*(1+G84/30),1))</f>
        <v/>
      </c>
      <c r="J84" s="11" t="n"/>
    </row>
    <row r="85">
      <c r="A85" s="13" t="n"/>
      <c r="B85" s="10">
        <f>IF(A85="","",A85-'Daily Check-In'!$B$4+1)</f>
        <v/>
      </c>
      <c r="C85" s="11" t="n"/>
      <c r="D85" s="11" t="n"/>
      <c r="E85" s="11" t="n"/>
      <c r="F85" s="14" t="n"/>
      <c r="G85" s="14" t="n"/>
      <c r="H85" s="14" t="n"/>
      <c r="I85" s="10">
        <f>IF(OR(F85="",G85=""),"",ROUND(F85*(1+G85/30),1))</f>
        <v/>
      </c>
      <c r="J85" s="11" t="n"/>
    </row>
    <row r="86">
      <c r="A86" s="13" t="n"/>
      <c r="B86" s="10">
        <f>IF(A86="","",A86-'Daily Check-In'!$B$4+1)</f>
        <v/>
      </c>
      <c r="C86" s="11" t="n"/>
      <c r="D86" s="11" t="n"/>
      <c r="E86" s="11" t="n"/>
      <c r="F86" s="14" t="n"/>
      <c r="G86" s="14" t="n"/>
      <c r="H86" s="14" t="n"/>
      <c r="I86" s="10">
        <f>IF(OR(F86="",G86=""),"",ROUND(F86*(1+G86/30),1))</f>
        <v/>
      </c>
      <c r="J86" s="11" t="n"/>
    </row>
    <row r="87">
      <c r="A87" s="13" t="n"/>
      <c r="B87" s="10">
        <f>IF(A87="","",A87-'Daily Check-In'!$B$4+1)</f>
        <v/>
      </c>
      <c r="C87" s="11" t="n"/>
      <c r="D87" s="11" t="n"/>
      <c r="E87" s="11" t="n"/>
      <c r="F87" s="14" t="n"/>
      <c r="G87" s="14" t="n"/>
      <c r="H87" s="14" t="n"/>
      <c r="I87" s="10">
        <f>IF(OR(F87="",G87=""),"",ROUND(F87*(1+G87/30),1))</f>
        <v/>
      </c>
      <c r="J87" s="11" t="n"/>
    </row>
    <row r="88">
      <c r="A88" s="13" t="n"/>
      <c r="B88" s="10">
        <f>IF(A88="","",A88-'Daily Check-In'!$B$4+1)</f>
        <v/>
      </c>
      <c r="C88" s="11" t="n"/>
      <c r="D88" s="11" t="n"/>
      <c r="E88" s="11" t="n"/>
      <c r="F88" s="14" t="n"/>
      <c r="G88" s="14" t="n"/>
      <c r="H88" s="14" t="n"/>
      <c r="I88" s="10">
        <f>IF(OR(F88="",G88=""),"",ROUND(F88*(1+G88/30),1))</f>
        <v/>
      </c>
      <c r="J88" s="11" t="n"/>
    </row>
    <row r="89">
      <c r="A89" s="13" t="n"/>
      <c r="B89" s="10">
        <f>IF(A89="","",A89-'Daily Check-In'!$B$4+1)</f>
        <v/>
      </c>
      <c r="C89" s="11" t="n"/>
      <c r="D89" s="11" t="n"/>
      <c r="E89" s="11" t="n"/>
      <c r="F89" s="14" t="n"/>
      <c r="G89" s="14" t="n"/>
      <c r="H89" s="14" t="n"/>
      <c r="I89" s="10">
        <f>IF(OR(F89="",G89=""),"",ROUND(F89*(1+G89/30),1))</f>
        <v/>
      </c>
      <c r="J89" s="11" t="n"/>
    </row>
    <row r="90">
      <c r="A90" s="13" t="n"/>
      <c r="B90" s="10">
        <f>IF(A90="","",A90-'Daily Check-In'!$B$4+1)</f>
        <v/>
      </c>
      <c r="C90" s="11" t="n"/>
      <c r="D90" s="11" t="n"/>
      <c r="E90" s="11" t="n"/>
      <c r="F90" s="14" t="n"/>
      <c r="G90" s="14" t="n"/>
      <c r="H90" s="14" t="n"/>
      <c r="I90" s="10">
        <f>IF(OR(F90="",G90=""),"",ROUND(F90*(1+G90/30),1))</f>
        <v/>
      </c>
      <c r="J90" s="11" t="n"/>
    </row>
    <row r="91">
      <c r="A91" s="13" t="n"/>
      <c r="B91" s="10">
        <f>IF(A91="","",A91-'Daily Check-In'!$B$4+1)</f>
        <v/>
      </c>
      <c r="C91" s="11" t="n"/>
      <c r="D91" s="11" t="n"/>
      <c r="E91" s="11" t="n"/>
      <c r="F91" s="14" t="n"/>
      <c r="G91" s="14" t="n"/>
      <c r="H91" s="14" t="n"/>
      <c r="I91" s="10">
        <f>IF(OR(F91="",G91=""),"",ROUND(F91*(1+G91/30),1))</f>
        <v/>
      </c>
      <c r="J91" s="11" t="n"/>
    </row>
    <row r="92">
      <c r="A92" s="13" t="n"/>
      <c r="B92" s="10">
        <f>IF(A92="","",A92-'Daily Check-In'!$B$4+1)</f>
        <v/>
      </c>
      <c r="C92" s="11" t="n"/>
      <c r="D92" s="11" t="n"/>
      <c r="E92" s="11" t="n"/>
      <c r="F92" s="14" t="n"/>
      <c r="G92" s="14" t="n"/>
      <c r="H92" s="14" t="n"/>
      <c r="I92" s="10">
        <f>IF(OR(F92="",G92=""),"",ROUND(F92*(1+G92/30),1))</f>
        <v/>
      </c>
      <c r="J92" s="11" t="n"/>
    </row>
    <row r="93">
      <c r="A93" s="13" t="n"/>
      <c r="B93" s="10">
        <f>IF(A93="","",A93-'Daily Check-In'!$B$4+1)</f>
        <v/>
      </c>
      <c r="C93" s="11" t="n"/>
      <c r="D93" s="11" t="n"/>
      <c r="E93" s="11" t="n"/>
      <c r="F93" s="14" t="n"/>
      <c r="G93" s="14" t="n"/>
      <c r="H93" s="14" t="n"/>
      <c r="I93" s="10">
        <f>IF(OR(F93="",G93=""),"",ROUND(F93*(1+G93/30),1))</f>
        <v/>
      </c>
      <c r="J93" s="11" t="n"/>
    </row>
    <row r="94">
      <c r="A94" s="13" t="n"/>
      <c r="B94" s="10">
        <f>IF(A94="","",A94-'Daily Check-In'!$B$4+1)</f>
        <v/>
      </c>
      <c r="C94" s="11" t="n"/>
      <c r="D94" s="11" t="n"/>
      <c r="E94" s="11" t="n"/>
      <c r="F94" s="14" t="n"/>
      <c r="G94" s="14" t="n"/>
      <c r="H94" s="14" t="n"/>
      <c r="I94" s="10">
        <f>IF(OR(F94="",G94=""),"",ROUND(F94*(1+G94/30),1))</f>
        <v/>
      </c>
      <c r="J94" s="11" t="n"/>
    </row>
    <row r="95">
      <c r="A95" s="13" t="n"/>
      <c r="B95" s="10">
        <f>IF(A95="","",A95-'Daily Check-In'!$B$4+1)</f>
        <v/>
      </c>
      <c r="C95" s="11" t="n"/>
      <c r="D95" s="11" t="n"/>
      <c r="E95" s="11" t="n"/>
      <c r="F95" s="14" t="n"/>
      <c r="G95" s="14" t="n"/>
      <c r="H95" s="14" t="n"/>
      <c r="I95" s="10">
        <f>IF(OR(F95="",G95=""),"",ROUND(F95*(1+G95/30),1))</f>
        <v/>
      </c>
      <c r="J95" s="11" t="n"/>
    </row>
    <row r="96">
      <c r="A96" s="13" t="n"/>
      <c r="B96" s="10">
        <f>IF(A96="","",A96-'Daily Check-In'!$B$4+1)</f>
        <v/>
      </c>
      <c r="C96" s="11" t="n"/>
      <c r="D96" s="11" t="n"/>
      <c r="E96" s="11" t="n"/>
      <c r="F96" s="14" t="n"/>
      <c r="G96" s="14" t="n"/>
      <c r="H96" s="14" t="n"/>
      <c r="I96" s="10">
        <f>IF(OR(F96="",G96=""),"",ROUND(F96*(1+G96/30),1))</f>
        <v/>
      </c>
      <c r="J96" s="11" t="n"/>
    </row>
    <row r="97">
      <c r="A97" s="13" t="n"/>
      <c r="B97" s="10">
        <f>IF(A97="","",A97-'Daily Check-In'!$B$4+1)</f>
        <v/>
      </c>
      <c r="C97" s="11" t="n"/>
      <c r="D97" s="11" t="n"/>
      <c r="E97" s="11" t="n"/>
      <c r="F97" s="14" t="n"/>
      <c r="G97" s="14" t="n"/>
      <c r="H97" s="14" t="n"/>
      <c r="I97" s="10">
        <f>IF(OR(F97="",G97=""),"",ROUND(F97*(1+G97/30),1))</f>
        <v/>
      </c>
      <c r="J97" s="11" t="n"/>
    </row>
    <row r="98">
      <c r="A98" s="13" t="n"/>
      <c r="B98" s="10">
        <f>IF(A98="","",A98-'Daily Check-In'!$B$4+1)</f>
        <v/>
      </c>
      <c r="C98" s="11" t="n"/>
      <c r="D98" s="11" t="n"/>
      <c r="E98" s="11" t="n"/>
      <c r="F98" s="14" t="n"/>
      <c r="G98" s="14" t="n"/>
      <c r="H98" s="14" t="n"/>
      <c r="I98" s="10">
        <f>IF(OR(F98="",G98=""),"",ROUND(F98*(1+G98/30),1))</f>
        <v/>
      </c>
      <c r="J98" s="11" t="n"/>
    </row>
    <row r="99">
      <c r="A99" s="13" t="n"/>
      <c r="B99" s="10">
        <f>IF(A99="","",A99-'Daily Check-In'!$B$4+1)</f>
        <v/>
      </c>
      <c r="C99" s="11" t="n"/>
      <c r="D99" s="11" t="n"/>
      <c r="E99" s="11" t="n"/>
      <c r="F99" s="14" t="n"/>
      <c r="G99" s="14" t="n"/>
      <c r="H99" s="14" t="n"/>
      <c r="I99" s="10">
        <f>IF(OR(F99="",G99=""),"",ROUND(F99*(1+G99/30),1))</f>
        <v/>
      </c>
      <c r="J99" s="11" t="n"/>
    </row>
    <row r="100">
      <c r="A100" s="13" t="n"/>
      <c r="B100" s="10">
        <f>IF(A100="","",A100-'Daily Check-In'!$B$4+1)</f>
        <v/>
      </c>
      <c r="C100" s="11" t="n"/>
      <c r="D100" s="11" t="n"/>
      <c r="E100" s="11" t="n"/>
      <c r="F100" s="14" t="n"/>
      <c r="G100" s="14" t="n"/>
      <c r="H100" s="14" t="n"/>
      <c r="I100" s="10">
        <f>IF(OR(F100="",G100=""),"",ROUND(F100*(1+G100/30),1))</f>
        <v/>
      </c>
      <c r="J100" s="11" t="n"/>
    </row>
    <row r="101">
      <c r="A101" s="13" t="n"/>
      <c r="B101" s="10">
        <f>IF(A101="","",A101-'Daily Check-In'!$B$4+1)</f>
        <v/>
      </c>
      <c r="C101" s="11" t="n"/>
      <c r="D101" s="11" t="n"/>
      <c r="E101" s="11" t="n"/>
      <c r="F101" s="14" t="n"/>
      <c r="G101" s="14" t="n"/>
      <c r="H101" s="14" t="n"/>
      <c r="I101" s="10">
        <f>IF(OR(F101="",G101=""),"",ROUND(F101*(1+G101/30),1))</f>
        <v/>
      </c>
      <c r="J101" s="11" t="n"/>
    </row>
    <row r="102">
      <c r="A102" s="13" t="n"/>
      <c r="B102" s="10">
        <f>IF(A102="","",A102-'Daily Check-In'!$B$4+1)</f>
        <v/>
      </c>
      <c r="C102" s="11" t="n"/>
      <c r="D102" s="11" t="n"/>
      <c r="E102" s="11" t="n"/>
      <c r="F102" s="14" t="n"/>
      <c r="G102" s="14" t="n"/>
      <c r="H102" s="14" t="n"/>
      <c r="I102" s="10">
        <f>IF(OR(F102="",G102=""),"",ROUND(F102*(1+G102/30),1))</f>
        <v/>
      </c>
      <c r="J102" s="11" t="n"/>
    </row>
    <row r="103">
      <c r="A103" s="13" t="n"/>
      <c r="B103" s="10">
        <f>IF(A103="","",A103-'Daily Check-In'!$B$4+1)</f>
        <v/>
      </c>
      <c r="C103" s="11" t="n"/>
      <c r="D103" s="11" t="n"/>
      <c r="E103" s="11" t="n"/>
      <c r="F103" s="14" t="n"/>
      <c r="G103" s="14" t="n"/>
      <c r="H103" s="14" t="n"/>
      <c r="I103" s="10">
        <f>IF(OR(F103="",G103=""),"",ROUND(F103*(1+G103/30),1))</f>
        <v/>
      </c>
      <c r="J103" s="11" t="n"/>
    </row>
    <row r="104">
      <c r="A104" s="13" t="n"/>
      <c r="B104" s="10">
        <f>IF(A104="","",A104-'Daily Check-In'!$B$4+1)</f>
        <v/>
      </c>
      <c r="C104" s="11" t="n"/>
      <c r="D104" s="11" t="n"/>
      <c r="E104" s="11" t="n"/>
      <c r="F104" s="14" t="n"/>
      <c r="G104" s="14" t="n"/>
      <c r="H104" s="14" t="n"/>
      <c r="I104" s="10">
        <f>IF(OR(F104="",G104=""),"",ROUND(F104*(1+G104/30),1))</f>
        <v/>
      </c>
      <c r="J104" s="11" t="n"/>
    </row>
    <row r="105">
      <c r="A105" s="13" t="n"/>
      <c r="B105" s="10">
        <f>IF(A105="","",A105-'Daily Check-In'!$B$4+1)</f>
        <v/>
      </c>
      <c r="C105" s="11" t="n"/>
      <c r="D105" s="11" t="n"/>
      <c r="E105" s="11" t="n"/>
      <c r="F105" s="14" t="n"/>
      <c r="G105" s="14" t="n"/>
      <c r="H105" s="14" t="n"/>
      <c r="I105" s="10">
        <f>IF(OR(F105="",G105=""),"",ROUND(F105*(1+G105/30),1))</f>
        <v/>
      </c>
      <c r="J105" s="11" t="n"/>
    </row>
    <row r="106">
      <c r="A106" s="13" t="n"/>
      <c r="B106" s="10">
        <f>IF(A106="","",A106-'Daily Check-In'!$B$4+1)</f>
        <v/>
      </c>
      <c r="C106" s="11" t="n"/>
      <c r="D106" s="11" t="n"/>
      <c r="E106" s="11" t="n"/>
      <c r="F106" s="14" t="n"/>
      <c r="G106" s="14" t="n"/>
      <c r="H106" s="14" t="n"/>
      <c r="I106" s="10">
        <f>IF(OR(F106="",G106=""),"",ROUND(F106*(1+G106/30),1))</f>
        <v/>
      </c>
      <c r="J106" s="11" t="n"/>
    </row>
    <row r="107">
      <c r="A107" s="13" t="n"/>
      <c r="B107" s="10">
        <f>IF(A107="","",A107-'Daily Check-In'!$B$4+1)</f>
        <v/>
      </c>
      <c r="C107" s="11" t="n"/>
      <c r="D107" s="11" t="n"/>
      <c r="E107" s="11" t="n"/>
      <c r="F107" s="14" t="n"/>
      <c r="G107" s="14" t="n"/>
      <c r="H107" s="14" t="n"/>
      <c r="I107" s="10">
        <f>IF(OR(F107="",G107=""),"",ROUND(F107*(1+G107/30),1))</f>
        <v/>
      </c>
      <c r="J107" s="11" t="n"/>
    </row>
    <row r="108">
      <c r="A108" s="13" t="n"/>
      <c r="B108" s="10">
        <f>IF(A108="","",A108-'Daily Check-In'!$B$4+1)</f>
        <v/>
      </c>
      <c r="C108" s="11" t="n"/>
      <c r="D108" s="11" t="n"/>
      <c r="E108" s="11" t="n"/>
      <c r="F108" s="14" t="n"/>
      <c r="G108" s="14" t="n"/>
      <c r="H108" s="14" t="n"/>
      <c r="I108" s="10">
        <f>IF(OR(F108="",G108=""),"",ROUND(F108*(1+G108/30),1))</f>
        <v/>
      </c>
      <c r="J108" s="11" t="n"/>
    </row>
    <row r="109">
      <c r="A109" s="13" t="n"/>
      <c r="B109" s="10">
        <f>IF(A109="","",A109-'Daily Check-In'!$B$4+1)</f>
        <v/>
      </c>
      <c r="C109" s="11" t="n"/>
      <c r="D109" s="11" t="n"/>
      <c r="E109" s="11" t="n"/>
      <c r="F109" s="14" t="n"/>
      <c r="G109" s="14" t="n"/>
      <c r="H109" s="14" t="n"/>
      <c r="I109" s="10">
        <f>IF(OR(F109="",G109=""),"",ROUND(F109*(1+G109/30),1))</f>
        <v/>
      </c>
      <c r="J109" s="11" t="n"/>
    </row>
    <row r="110">
      <c r="A110" s="13" t="n"/>
      <c r="B110" s="10">
        <f>IF(A110="","",A110-'Daily Check-In'!$B$4+1)</f>
        <v/>
      </c>
      <c r="C110" s="11" t="n"/>
      <c r="D110" s="11" t="n"/>
      <c r="E110" s="11" t="n"/>
      <c r="F110" s="14" t="n"/>
      <c r="G110" s="14" t="n"/>
      <c r="H110" s="14" t="n"/>
      <c r="I110" s="10">
        <f>IF(OR(F110="",G110=""),"",ROUND(F110*(1+G110/30),1))</f>
        <v/>
      </c>
      <c r="J110" s="11" t="n"/>
    </row>
    <row r="111">
      <c r="A111" s="13" t="n"/>
      <c r="B111" s="10">
        <f>IF(A111="","",A111-'Daily Check-In'!$B$4+1)</f>
        <v/>
      </c>
      <c r="C111" s="11" t="n"/>
      <c r="D111" s="11" t="n"/>
      <c r="E111" s="11" t="n"/>
      <c r="F111" s="14" t="n"/>
      <c r="G111" s="14" t="n"/>
      <c r="H111" s="14" t="n"/>
      <c r="I111" s="10">
        <f>IF(OR(F111="",G111=""),"",ROUND(F111*(1+G111/30),1))</f>
        <v/>
      </c>
      <c r="J111" s="11" t="n"/>
    </row>
    <row r="112">
      <c r="A112" s="13" t="n"/>
      <c r="B112" s="10">
        <f>IF(A112="","",A112-'Daily Check-In'!$B$4+1)</f>
        <v/>
      </c>
      <c r="C112" s="11" t="n"/>
      <c r="D112" s="11" t="n"/>
      <c r="E112" s="11" t="n"/>
      <c r="F112" s="14" t="n"/>
      <c r="G112" s="14" t="n"/>
      <c r="H112" s="14" t="n"/>
      <c r="I112" s="10">
        <f>IF(OR(F112="",G112=""),"",ROUND(F112*(1+G112/30),1))</f>
        <v/>
      </c>
      <c r="J112" s="11" t="n"/>
    </row>
    <row r="113">
      <c r="A113" s="13" t="n"/>
      <c r="B113" s="10">
        <f>IF(A113="","",A113-'Daily Check-In'!$B$4+1)</f>
        <v/>
      </c>
      <c r="C113" s="11" t="n"/>
      <c r="D113" s="11" t="n"/>
      <c r="E113" s="11" t="n"/>
      <c r="F113" s="14" t="n"/>
      <c r="G113" s="14" t="n"/>
      <c r="H113" s="14" t="n"/>
      <c r="I113" s="10">
        <f>IF(OR(F113="",G113=""),"",ROUND(F113*(1+G113/30),1))</f>
        <v/>
      </c>
      <c r="J113" s="11" t="n"/>
    </row>
    <row r="114">
      <c r="A114" s="13" t="n"/>
      <c r="B114" s="10">
        <f>IF(A114="","",A114-'Daily Check-In'!$B$4+1)</f>
        <v/>
      </c>
      <c r="C114" s="11" t="n"/>
      <c r="D114" s="11" t="n"/>
      <c r="E114" s="11" t="n"/>
      <c r="F114" s="14" t="n"/>
      <c r="G114" s="14" t="n"/>
      <c r="H114" s="14" t="n"/>
      <c r="I114" s="10">
        <f>IF(OR(F114="",G114=""),"",ROUND(F114*(1+G114/30),1))</f>
        <v/>
      </c>
      <c r="J114" s="11" t="n"/>
    </row>
    <row r="115">
      <c r="A115" s="13" t="n"/>
      <c r="B115" s="10">
        <f>IF(A115="","",A115-'Daily Check-In'!$B$4+1)</f>
        <v/>
      </c>
      <c r="C115" s="11" t="n"/>
      <c r="D115" s="11" t="n"/>
      <c r="E115" s="11" t="n"/>
      <c r="F115" s="14" t="n"/>
      <c r="G115" s="14" t="n"/>
      <c r="H115" s="14" t="n"/>
      <c r="I115" s="10">
        <f>IF(OR(F115="",G115=""),"",ROUND(F115*(1+G115/30),1))</f>
        <v/>
      </c>
      <c r="J115" s="11" t="n"/>
    </row>
    <row r="116">
      <c r="A116" s="13" t="n"/>
      <c r="B116" s="10">
        <f>IF(A116="","",A116-'Daily Check-In'!$B$4+1)</f>
        <v/>
      </c>
      <c r="C116" s="11" t="n"/>
      <c r="D116" s="11" t="n"/>
      <c r="E116" s="11" t="n"/>
      <c r="F116" s="14" t="n"/>
      <c r="G116" s="14" t="n"/>
      <c r="H116" s="14" t="n"/>
      <c r="I116" s="10">
        <f>IF(OR(F116="",G116=""),"",ROUND(F116*(1+G116/30),1))</f>
        <v/>
      </c>
      <c r="J116" s="11" t="n"/>
    </row>
    <row r="117">
      <c r="A117" s="13" t="n"/>
      <c r="B117" s="10">
        <f>IF(A117="","",A117-'Daily Check-In'!$B$4+1)</f>
        <v/>
      </c>
      <c r="C117" s="11" t="n"/>
      <c r="D117" s="11" t="n"/>
      <c r="E117" s="11" t="n"/>
      <c r="F117" s="14" t="n"/>
      <c r="G117" s="14" t="n"/>
      <c r="H117" s="14" t="n"/>
      <c r="I117" s="10">
        <f>IF(OR(F117="",G117=""),"",ROUND(F117*(1+G117/30),1))</f>
        <v/>
      </c>
      <c r="J117" s="11" t="n"/>
    </row>
    <row r="118">
      <c r="A118" s="13" t="n"/>
      <c r="B118" s="10">
        <f>IF(A118="","",A118-'Daily Check-In'!$B$4+1)</f>
        <v/>
      </c>
      <c r="C118" s="11" t="n"/>
      <c r="D118" s="11" t="n"/>
      <c r="E118" s="11" t="n"/>
      <c r="F118" s="14" t="n"/>
      <c r="G118" s="14" t="n"/>
      <c r="H118" s="14" t="n"/>
      <c r="I118" s="10">
        <f>IF(OR(F118="",G118=""),"",ROUND(F118*(1+G118/30),1))</f>
        <v/>
      </c>
      <c r="J118" s="11" t="n"/>
    </row>
    <row r="119">
      <c r="A119" s="13" t="n"/>
      <c r="B119" s="10">
        <f>IF(A119="","",A119-'Daily Check-In'!$B$4+1)</f>
        <v/>
      </c>
      <c r="C119" s="11" t="n"/>
      <c r="D119" s="11" t="n"/>
      <c r="E119" s="11" t="n"/>
      <c r="F119" s="14" t="n"/>
      <c r="G119" s="14" t="n"/>
      <c r="H119" s="14" t="n"/>
      <c r="I119" s="10">
        <f>IF(OR(F119="",G119=""),"",ROUND(F119*(1+G119/30),1))</f>
        <v/>
      </c>
      <c r="J119" s="11" t="n"/>
    </row>
    <row r="120">
      <c r="A120" s="13" t="n"/>
      <c r="B120" s="10">
        <f>IF(A120="","",A120-'Daily Check-In'!$B$4+1)</f>
        <v/>
      </c>
      <c r="C120" s="11" t="n"/>
      <c r="D120" s="11" t="n"/>
      <c r="E120" s="11" t="n"/>
      <c r="F120" s="14" t="n"/>
      <c r="G120" s="14" t="n"/>
      <c r="H120" s="14" t="n"/>
      <c r="I120" s="10">
        <f>IF(OR(F120="",G120=""),"",ROUND(F120*(1+G120/30),1))</f>
        <v/>
      </c>
      <c r="J120" s="11" t="n"/>
    </row>
    <row r="121">
      <c r="A121" s="13" t="n"/>
      <c r="B121" s="10">
        <f>IF(A121="","",A121-'Daily Check-In'!$B$4+1)</f>
        <v/>
      </c>
      <c r="C121" s="11" t="n"/>
      <c r="D121" s="11" t="n"/>
      <c r="E121" s="11" t="n"/>
      <c r="F121" s="14" t="n"/>
      <c r="G121" s="14" t="n"/>
      <c r="H121" s="14" t="n"/>
      <c r="I121" s="10">
        <f>IF(OR(F121="",G121=""),"",ROUND(F121*(1+G121/30),1))</f>
        <v/>
      </c>
      <c r="J121" s="11" t="n"/>
    </row>
    <row r="122">
      <c r="A122" s="13" t="n"/>
      <c r="B122" s="10">
        <f>IF(A122="","",A122-'Daily Check-In'!$B$4+1)</f>
        <v/>
      </c>
      <c r="C122" s="11" t="n"/>
      <c r="D122" s="11" t="n"/>
      <c r="E122" s="11" t="n"/>
      <c r="F122" s="14" t="n"/>
      <c r="G122" s="14" t="n"/>
      <c r="H122" s="14" t="n"/>
      <c r="I122" s="10">
        <f>IF(OR(F122="",G122=""),"",ROUND(F122*(1+G122/30),1))</f>
        <v/>
      </c>
      <c r="J122" s="11" t="n"/>
    </row>
    <row r="123">
      <c r="A123" s="13" t="n"/>
      <c r="B123" s="10">
        <f>IF(A123="","",A123-'Daily Check-In'!$B$4+1)</f>
        <v/>
      </c>
      <c r="C123" s="11" t="n"/>
      <c r="D123" s="11" t="n"/>
      <c r="E123" s="11" t="n"/>
      <c r="F123" s="14" t="n"/>
      <c r="G123" s="14" t="n"/>
      <c r="H123" s="14" t="n"/>
      <c r="I123" s="10">
        <f>IF(OR(F123="",G123=""),"",ROUND(F123*(1+G123/30),1))</f>
        <v/>
      </c>
      <c r="J123" s="11" t="n"/>
    </row>
    <row r="124">
      <c r="A124" s="13" t="n"/>
      <c r="B124" s="10">
        <f>IF(A124="","",A124-'Daily Check-In'!$B$4+1)</f>
        <v/>
      </c>
      <c r="C124" s="11" t="n"/>
      <c r="D124" s="11" t="n"/>
      <c r="E124" s="11" t="n"/>
      <c r="F124" s="14" t="n"/>
      <c r="G124" s="14" t="n"/>
      <c r="H124" s="14" t="n"/>
      <c r="I124" s="10">
        <f>IF(OR(F124="",G124=""),"",ROUND(F124*(1+G124/30),1))</f>
        <v/>
      </c>
      <c r="J124" s="11" t="n"/>
    </row>
    <row r="125">
      <c r="A125" s="13" t="n"/>
      <c r="B125" s="10">
        <f>IF(A125="","",A125-'Daily Check-In'!$B$4+1)</f>
        <v/>
      </c>
      <c r="C125" s="11" t="n"/>
      <c r="D125" s="11" t="n"/>
      <c r="E125" s="11" t="n"/>
      <c r="F125" s="14" t="n"/>
      <c r="G125" s="14" t="n"/>
      <c r="H125" s="14" t="n"/>
      <c r="I125" s="10">
        <f>IF(OR(F125="",G125=""),"",ROUND(F125*(1+G125/30),1))</f>
        <v/>
      </c>
      <c r="J125" s="11" t="n"/>
    </row>
    <row r="126">
      <c r="A126" s="13" t="n"/>
      <c r="B126" s="10">
        <f>IF(A126="","",A126-'Daily Check-In'!$B$4+1)</f>
        <v/>
      </c>
      <c r="C126" s="11" t="n"/>
      <c r="D126" s="11" t="n"/>
      <c r="E126" s="11" t="n"/>
      <c r="F126" s="14" t="n"/>
      <c r="G126" s="14" t="n"/>
      <c r="H126" s="14" t="n"/>
      <c r="I126" s="10">
        <f>IF(OR(F126="",G126=""),"",ROUND(F126*(1+G126/30),1))</f>
        <v/>
      </c>
      <c r="J126" s="11" t="n"/>
    </row>
    <row r="127">
      <c r="A127" s="13" t="n"/>
      <c r="B127" s="10">
        <f>IF(A127="","",A127-'Daily Check-In'!$B$4+1)</f>
        <v/>
      </c>
      <c r="C127" s="11" t="n"/>
      <c r="D127" s="11" t="n"/>
      <c r="E127" s="11" t="n"/>
      <c r="F127" s="14" t="n"/>
      <c r="G127" s="14" t="n"/>
      <c r="H127" s="14" t="n"/>
      <c r="I127" s="10">
        <f>IF(OR(F127="",G127=""),"",ROUND(F127*(1+G127/30),1))</f>
        <v/>
      </c>
      <c r="J127" s="11" t="n"/>
    </row>
    <row r="128">
      <c r="A128" s="13" t="n"/>
      <c r="B128" s="10">
        <f>IF(A128="","",A128-'Daily Check-In'!$B$4+1)</f>
        <v/>
      </c>
      <c r="C128" s="11" t="n"/>
      <c r="D128" s="11" t="n"/>
      <c r="E128" s="11" t="n"/>
      <c r="F128" s="14" t="n"/>
      <c r="G128" s="14" t="n"/>
      <c r="H128" s="14" t="n"/>
      <c r="I128" s="10">
        <f>IF(OR(F128="",G128=""),"",ROUND(F128*(1+G128/30),1))</f>
        <v/>
      </c>
      <c r="J128" s="11" t="n"/>
    </row>
    <row r="129">
      <c r="A129" s="13" t="n"/>
      <c r="B129" s="10">
        <f>IF(A129="","",A129-'Daily Check-In'!$B$4+1)</f>
        <v/>
      </c>
      <c r="C129" s="11" t="n"/>
      <c r="D129" s="11" t="n"/>
      <c r="E129" s="11" t="n"/>
      <c r="F129" s="14" t="n"/>
      <c r="G129" s="14" t="n"/>
      <c r="H129" s="14" t="n"/>
      <c r="I129" s="10">
        <f>IF(OR(F129="",G129=""),"",ROUND(F129*(1+G129/30),1))</f>
        <v/>
      </c>
      <c r="J129" s="11" t="n"/>
    </row>
    <row r="130">
      <c r="A130" s="13" t="n"/>
      <c r="B130" s="10">
        <f>IF(A130="","",A130-'Daily Check-In'!$B$4+1)</f>
        <v/>
      </c>
      <c r="C130" s="11" t="n"/>
      <c r="D130" s="11" t="n"/>
      <c r="E130" s="11" t="n"/>
      <c r="F130" s="14" t="n"/>
      <c r="G130" s="14" t="n"/>
      <c r="H130" s="14" t="n"/>
      <c r="I130" s="10">
        <f>IF(OR(F130="",G130=""),"",ROUND(F130*(1+G130/30),1))</f>
        <v/>
      </c>
      <c r="J130" s="11" t="n"/>
    </row>
    <row r="131">
      <c r="A131" s="13" t="n"/>
      <c r="B131" s="10">
        <f>IF(A131="","",A131-'Daily Check-In'!$B$4+1)</f>
        <v/>
      </c>
      <c r="C131" s="11" t="n"/>
      <c r="D131" s="11" t="n"/>
      <c r="E131" s="11" t="n"/>
      <c r="F131" s="14" t="n"/>
      <c r="G131" s="14" t="n"/>
      <c r="H131" s="14" t="n"/>
      <c r="I131" s="10">
        <f>IF(OR(F131="",G131=""),"",ROUND(F131*(1+G131/30),1))</f>
        <v/>
      </c>
      <c r="J131" s="11" t="n"/>
    </row>
    <row r="132">
      <c r="A132" s="13" t="n"/>
      <c r="B132" s="10">
        <f>IF(A132="","",A132-'Daily Check-In'!$B$4+1)</f>
        <v/>
      </c>
      <c r="C132" s="11" t="n"/>
      <c r="D132" s="11" t="n"/>
      <c r="E132" s="11" t="n"/>
      <c r="F132" s="14" t="n"/>
      <c r="G132" s="14" t="n"/>
      <c r="H132" s="14" t="n"/>
      <c r="I132" s="10">
        <f>IF(OR(F132="",G132=""),"",ROUND(F132*(1+G132/30),1))</f>
        <v/>
      </c>
      <c r="J132" s="11" t="n"/>
    </row>
    <row r="133">
      <c r="A133" s="13" t="n"/>
      <c r="B133" s="10">
        <f>IF(A133="","",A133-'Daily Check-In'!$B$4+1)</f>
        <v/>
      </c>
      <c r="C133" s="11" t="n"/>
      <c r="D133" s="11" t="n"/>
      <c r="E133" s="11" t="n"/>
      <c r="F133" s="14" t="n"/>
      <c r="G133" s="14" t="n"/>
      <c r="H133" s="14" t="n"/>
      <c r="I133" s="10">
        <f>IF(OR(F133="",G133=""),"",ROUND(F133*(1+G133/30),1))</f>
        <v/>
      </c>
      <c r="J133" s="11" t="n"/>
    </row>
    <row r="134">
      <c r="A134" s="13" t="n"/>
      <c r="B134" s="10">
        <f>IF(A134="","",A134-'Daily Check-In'!$B$4+1)</f>
        <v/>
      </c>
      <c r="C134" s="11" t="n"/>
      <c r="D134" s="11" t="n"/>
      <c r="E134" s="11" t="n"/>
      <c r="F134" s="14" t="n"/>
      <c r="G134" s="14" t="n"/>
      <c r="H134" s="14" t="n"/>
      <c r="I134" s="10">
        <f>IF(OR(F134="",G134=""),"",ROUND(F134*(1+G134/30),1))</f>
        <v/>
      </c>
      <c r="J134" s="11" t="n"/>
    </row>
    <row r="135">
      <c r="A135" s="13" t="n"/>
      <c r="B135" s="10">
        <f>IF(A135="","",A135-'Daily Check-In'!$B$4+1)</f>
        <v/>
      </c>
      <c r="C135" s="11" t="n"/>
      <c r="D135" s="11" t="n"/>
      <c r="E135" s="11" t="n"/>
      <c r="F135" s="14" t="n"/>
      <c r="G135" s="14" t="n"/>
      <c r="H135" s="14" t="n"/>
      <c r="I135" s="10">
        <f>IF(OR(F135="",G135=""),"",ROUND(F135*(1+G135/30),1))</f>
        <v/>
      </c>
      <c r="J135" s="11" t="n"/>
    </row>
    <row r="136">
      <c r="A136" s="13" t="n"/>
      <c r="B136" s="10">
        <f>IF(A136="","",A136-'Daily Check-In'!$B$4+1)</f>
        <v/>
      </c>
      <c r="C136" s="11" t="n"/>
      <c r="D136" s="11" t="n"/>
      <c r="E136" s="11" t="n"/>
      <c r="F136" s="14" t="n"/>
      <c r="G136" s="14" t="n"/>
      <c r="H136" s="14" t="n"/>
      <c r="I136" s="10">
        <f>IF(OR(F136="",G136=""),"",ROUND(F136*(1+G136/30),1))</f>
        <v/>
      </c>
      <c r="J136" s="11" t="n"/>
    </row>
    <row r="137">
      <c r="A137" s="13" t="n"/>
      <c r="B137" s="10">
        <f>IF(A137="","",A137-'Daily Check-In'!$B$4+1)</f>
        <v/>
      </c>
      <c r="C137" s="11" t="n"/>
      <c r="D137" s="11" t="n"/>
      <c r="E137" s="11" t="n"/>
      <c r="F137" s="14" t="n"/>
      <c r="G137" s="14" t="n"/>
      <c r="H137" s="14" t="n"/>
      <c r="I137" s="10">
        <f>IF(OR(F137="",G137=""),"",ROUND(F137*(1+G137/30),1))</f>
        <v/>
      </c>
      <c r="J137" s="11" t="n"/>
    </row>
    <row r="138">
      <c r="A138" s="13" t="n"/>
      <c r="B138" s="10">
        <f>IF(A138="","",A138-'Daily Check-In'!$B$4+1)</f>
        <v/>
      </c>
      <c r="C138" s="11" t="n"/>
      <c r="D138" s="11" t="n"/>
      <c r="E138" s="11" t="n"/>
      <c r="F138" s="14" t="n"/>
      <c r="G138" s="14" t="n"/>
      <c r="H138" s="14" t="n"/>
      <c r="I138" s="10">
        <f>IF(OR(F138="",G138=""),"",ROUND(F138*(1+G138/30),1))</f>
        <v/>
      </c>
      <c r="J138" s="11" t="n"/>
    </row>
    <row r="139">
      <c r="A139" s="13" t="n"/>
      <c r="B139" s="10">
        <f>IF(A139="","",A139-'Daily Check-In'!$B$4+1)</f>
        <v/>
      </c>
      <c r="C139" s="11" t="n"/>
      <c r="D139" s="11" t="n"/>
      <c r="E139" s="11" t="n"/>
      <c r="F139" s="14" t="n"/>
      <c r="G139" s="14" t="n"/>
      <c r="H139" s="14" t="n"/>
      <c r="I139" s="10">
        <f>IF(OR(F139="",G139=""),"",ROUND(F139*(1+G139/30),1))</f>
        <v/>
      </c>
      <c r="J139" s="11" t="n"/>
    </row>
    <row r="140">
      <c r="A140" s="13" t="n"/>
      <c r="B140" s="10">
        <f>IF(A140="","",A140-'Daily Check-In'!$B$4+1)</f>
        <v/>
      </c>
      <c r="C140" s="11" t="n"/>
      <c r="D140" s="11" t="n"/>
      <c r="E140" s="11" t="n"/>
      <c r="F140" s="14" t="n"/>
      <c r="G140" s="14" t="n"/>
      <c r="H140" s="14" t="n"/>
      <c r="I140" s="10">
        <f>IF(OR(F140="",G140=""),"",ROUND(F140*(1+G140/30),1))</f>
        <v/>
      </c>
      <c r="J140" s="11" t="n"/>
    </row>
    <row r="141">
      <c r="A141" s="13" t="n"/>
      <c r="B141" s="10">
        <f>IF(A141="","",A141-'Daily Check-In'!$B$4+1)</f>
        <v/>
      </c>
      <c r="C141" s="11" t="n"/>
      <c r="D141" s="11" t="n"/>
      <c r="E141" s="11" t="n"/>
      <c r="F141" s="14" t="n"/>
      <c r="G141" s="14" t="n"/>
      <c r="H141" s="14" t="n"/>
      <c r="I141" s="10">
        <f>IF(OR(F141="",G141=""),"",ROUND(F141*(1+G141/30),1))</f>
        <v/>
      </c>
      <c r="J141" s="11" t="n"/>
    </row>
    <row r="142">
      <c r="A142" s="13" t="n"/>
      <c r="B142" s="10">
        <f>IF(A142="","",A142-'Daily Check-In'!$B$4+1)</f>
        <v/>
      </c>
      <c r="C142" s="11" t="n"/>
      <c r="D142" s="11" t="n"/>
      <c r="E142" s="11" t="n"/>
      <c r="F142" s="14" t="n"/>
      <c r="G142" s="14" t="n"/>
      <c r="H142" s="14" t="n"/>
      <c r="I142" s="10">
        <f>IF(OR(F142="",G142=""),"",ROUND(F142*(1+G142/30),1))</f>
        <v/>
      </c>
      <c r="J142" s="11" t="n"/>
    </row>
    <row r="143">
      <c r="A143" s="13" t="n"/>
      <c r="B143" s="10">
        <f>IF(A143="","",A143-'Daily Check-In'!$B$4+1)</f>
        <v/>
      </c>
      <c r="C143" s="11" t="n"/>
      <c r="D143" s="11" t="n"/>
      <c r="E143" s="11" t="n"/>
      <c r="F143" s="14" t="n"/>
      <c r="G143" s="14" t="n"/>
      <c r="H143" s="14" t="n"/>
      <c r="I143" s="10">
        <f>IF(OR(F143="",G143=""),"",ROUND(F143*(1+G143/30),1))</f>
        <v/>
      </c>
      <c r="J143" s="11" t="n"/>
    </row>
    <row r="144">
      <c r="A144" s="13" t="n"/>
      <c r="B144" s="10">
        <f>IF(A144="","",A144-'Daily Check-In'!$B$4+1)</f>
        <v/>
      </c>
      <c r="C144" s="11" t="n"/>
      <c r="D144" s="11" t="n"/>
      <c r="E144" s="11" t="n"/>
      <c r="F144" s="14" t="n"/>
      <c r="G144" s="14" t="n"/>
      <c r="H144" s="14" t="n"/>
      <c r="I144" s="10">
        <f>IF(OR(F144="",G144=""),"",ROUND(F144*(1+G144/30),1))</f>
        <v/>
      </c>
      <c r="J144" s="11" t="n"/>
    </row>
    <row r="145">
      <c r="A145" s="13" t="n"/>
      <c r="B145" s="10">
        <f>IF(A145="","",A145-'Daily Check-In'!$B$4+1)</f>
        <v/>
      </c>
      <c r="C145" s="11" t="n"/>
      <c r="D145" s="11" t="n"/>
      <c r="E145" s="11" t="n"/>
      <c r="F145" s="14" t="n"/>
      <c r="G145" s="14" t="n"/>
      <c r="H145" s="14" t="n"/>
      <c r="I145" s="10">
        <f>IF(OR(F145="",G145=""),"",ROUND(F145*(1+G145/30),1))</f>
        <v/>
      </c>
      <c r="J145" s="11" t="n"/>
    </row>
    <row r="146">
      <c r="A146" s="13" t="n"/>
      <c r="B146" s="10">
        <f>IF(A146="","",A146-'Daily Check-In'!$B$4+1)</f>
        <v/>
      </c>
      <c r="C146" s="11" t="n"/>
      <c r="D146" s="11" t="n"/>
      <c r="E146" s="11" t="n"/>
      <c r="F146" s="14" t="n"/>
      <c r="G146" s="14" t="n"/>
      <c r="H146" s="14" t="n"/>
      <c r="I146" s="10">
        <f>IF(OR(F146="",G146=""),"",ROUND(F146*(1+G146/30),1))</f>
        <v/>
      </c>
      <c r="J146" s="11" t="n"/>
    </row>
    <row r="147">
      <c r="A147" s="13" t="n"/>
      <c r="B147" s="10">
        <f>IF(A147="","",A147-'Daily Check-In'!$B$4+1)</f>
        <v/>
      </c>
      <c r="C147" s="11" t="n"/>
      <c r="D147" s="11" t="n"/>
      <c r="E147" s="11" t="n"/>
      <c r="F147" s="14" t="n"/>
      <c r="G147" s="14" t="n"/>
      <c r="H147" s="14" t="n"/>
      <c r="I147" s="10">
        <f>IF(OR(F147="",G147=""),"",ROUND(F147*(1+G147/30),1))</f>
        <v/>
      </c>
      <c r="J147" s="11" t="n"/>
    </row>
    <row r="148">
      <c r="A148" s="13" t="n"/>
      <c r="B148" s="10">
        <f>IF(A148="","",A148-'Daily Check-In'!$B$4+1)</f>
        <v/>
      </c>
      <c r="C148" s="11" t="n"/>
      <c r="D148" s="11" t="n"/>
      <c r="E148" s="11" t="n"/>
      <c r="F148" s="14" t="n"/>
      <c r="G148" s="14" t="n"/>
      <c r="H148" s="14" t="n"/>
      <c r="I148" s="10">
        <f>IF(OR(F148="",G148=""),"",ROUND(F148*(1+G148/30),1))</f>
        <v/>
      </c>
      <c r="J148" s="11" t="n"/>
    </row>
    <row r="149">
      <c r="A149" s="13" t="n"/>
      <c r="B149" s="10">
        <f>IF(A149="","",A149-'Daily Check-In'!$B$4+1)</f>
        <v/>
      </c>
      <c r="C149" s="11" t="n"/>
      <c r="D149" s="11" t="n"/>
      <c r="E149" s="11" t="n"/>
      <c r="F149" s="14" t="n"/>
      <c r="G149" s="14" t="n"/>
      <c r="H149" s="14" t="n"/>
      <c r="I149" s="10">
        <f>IF(OR(F149="",G149=""),"",ROUND(F149*(1+G149/30),1))</f>
        <v/>
      </c>
      <c r="J149" s="11" t="n"/>
    </row>
    <row r="150">
      <c r="A150" s="13" t="n"/>
      <c r="B150" s="10">
        <f>IF(A150="","",A150-'Daily Check-In'!$B$4+1)</f>
        <v/>
      </c>
      <c r="C150" s="11" t="n"/>
      <c r="D150" s="11" t="n"/>
      <c r="E150" s="11" t="n"/>
      <c r="F150" s="14" t="n"/>
      <c r="G150" s="14" t="n"/>
      <c r="H150" s="14" t="n"/>
      <c r="I150" s="10">
        <f>IF(OR(F150="",G150=""),"",ROUND(F150*(1+G150/30),1))</f>
        <v/>
      </c>
      <c r="J150" s="11" t="n"/>
    </row>
    <row r="151">
      <c r="A151" s="13" t="n"/>
      <c r="B151" s="10">
        <f>IF(A151="","",A151-'Daily Check-In'!$B$4+1)</f>
        <v/>
      </c>
      <c r="C151" s="11" t="n"/>
      <c r="D151" s="11" t="n"/>
      <c r="E151" s="11" t="n"/>
      <c r="F151" s="14" t="n"/>
      <c r="G151" s="14" t="n"/>
      <c r="H151" s="14" t="n"/>
      <c r="I151" s="10">
        <f>IF(OR(F151="",G151=""),"",ROUND(F151*(1+G151/30),1))</f>
        <v/>
      </c>
      <c r="J151" s="11" t="n"/>
    </row>
    <row r="152">
      <c r="A152" s="13" t="n"/>
      <c r="B152" s="10">
        <f>IF(A152="","",A152-'Daily Check-In'!$B$4+1)</f>
        <v/>
      </c>
      <c r="C152" s="11" t="n"/>
      <c r="D152" s="11" t="n"/>
      <c r="E152" s="11" t="n"/>
      <c r="F152" s="14" t="n"/>
      <c r="G152" s="14" t="n"/>
      <c r="H152" s="14" t="n"/>
      <c r="I152" s="10">
        <f>IF(OR(F152="",G152=""),"",ROUND(F152*(1+G152/30),1))</f>
        <v/>
      </c>
      <c r="J152" s="11" t="n"/>
    </row>
    <row r="153">
      <c r="A153" s="13" t="n"/>
      <c r="B153" s="10">
        <f>IF(A153="","",A153-'Daily Check-In'!$B$4+1)</f>
        <v/>
      </c>
      <c r="C153" s="11" t="n"/>
      <c r="D153" s="11" t="n"/>
      <c r="E153" s="11" t="n"/>
      <c r="F153" s="14" t="n"/>
      <c r="G153" s="14" t="n"/>
      <c r="H153" s="14" t="n"/>
      <c r="I153" s="10">
        <f>IF(OR(F153="",G153=""),"",ROUND(F153*(1+G153/30),1))</f>
        <v/>
      </c>
      <c r="J153" s="11" t="n"/>
    </row>
    <row r="154">
      <c r="A154" s="13" t="n"/>
      <c r="B154" s="10">
        <f>IF(A154="","",A154-'Daily Check-In'!$B$4+1)</f>
        <v/>
      </c>
      <c r="C154" s="11" t="n"/>
      <c r="D154" s="11" t="n"/>
      <c r="E154" s="11" t="n"/>
      <c r="F154" s="14" t="n"/>
      <c r="G154" s="14" t="n"/>
      <c r="H154" s="14" t="n"/>
      <c r="I154" s="10">
        <f>IF(OR(F154="",G154=""),"",ROUND(F154*(1+G154/30),1))</f>
        <v/>
      </c>
      <c r="J154" s="11" t="n"/>
    </row>
    <row r="155">
      <c r="A155" s="13" t="n"/>
      <c r="B155" s="10">
        <f>IF(A155="","",A155-'Daily Check-In'!$B$4+1)</f>
        <v/>
      </c>
      <c r="C155" s="11" t="n"/>
      <c r="D155" s="11" t="n"/>
      <c r="E155" s="11" t="n"/>
      <c r="F155" s="14" t="n"/>
      <c r="G155" s="14" t="n"/>
      <c r="H155" s="14" t="n"/>
      <c r="I155" s="10">
        <f>IF(OR(F155="",G155=""),"",ROUND(F155*(1+G155/30),1))</f>
        <v/>
      </c>
      <c r="J155" s="11" t="n"/>
    </row>
    <row r="156">
      <c r="A156" s="13" t="n"/>
      <c r="B156" s="10">
        <f>IF(A156="","",A156-'Daily Check-In'!$B$4+1)</f>
        <v/>
      </c>
      <c r="C156" s="11" t="n"/>
      <c r="D156" s="11" t="n"/>
      <c r="E156" s="11" t="n"/>
      <c r="F156" s="14" t="n"/>
      <c r="G156" s="14" t="n"/>
      <c r="H156" s="14" t="n"/>
      <c r="I156" s="10">
        <f>IF(OR(F156="",G156=""),"",ROUND(F156*(1+G156/30),1))</f>
        <v/>
      </c>
      <c r="J156" s="11" t="n"/>
    </row>
    <row r="157">
      <c r="A157" s="13" t="n"/>
      <c r="B157" s="10">
        <f>IF(A157="","",A157-'Daily Check-In'!$B$4+1)</f>
        <v/>
      </c>
      <c r="C157" s="11" t="n"/>
      <c r="D157" s="11" t="n"/>
      <c r="E157" s="11" t="n"/>
      <c r="F157" s="14" t="n"/>
      <c r="G157" s="14" t="n"/>
      <c r="H157" s="14" t="n"/>
      <c r="I157" s="10">
        <f>IF(OR(F157="",G157=""),"",ROUND(F157*(1+G157/30),1))</f>
        <v/>
      </c>
      <c r="J157" s="11" t="n"/>
    </row>
    <row r="158">
      <c r="A158" s="13" t="n"/>
      <c r="B158" s="10">
        <f>IF(A158="","",A158-'Daily Check-In'!$B$4+1)</f>
        <v/>
      </c>
      <c r="C158" s="11" t="n"/>
      <c r="D158" s="11" t="n"/>
      <c r="E158" s="11" t="n"/>
      <c r="F158" s="14" t="n"/>
      <c r="G158" s="14" t="n"/>
      <c r="H158" s="14" t="n"/>
      <c r="I158" s="10">
        <f>IF(OR(F158="",G158=""),"",ROUND(F158*(1+G158/30),1))</f>
        <v/>
      </c>
      <c r="J158" s="11" t="n"/>
    </row>
    <row r="159">
      <c r="A159" s="13" t="n"/>
      <c r="B159" s="10">
        <f>IF(A159="","",A159-'Daily Check-In'!$B$4+1)</f>
        <v/>
      </c>
      <c r="C159" s="11" t="n"/>
      <c r="D159" s="11" t="n"/>
      <c r="E159" s="11" t="n"/>
      <c r="F159" s="14" t="n"/>
      <c r="G159" s="14" t="n"/>
      <c r="H159" s="14" t="n"/>
      <c r="I159" s="10">
        <f>IF(OR(F159="",G159=""),"",ROUND(F159*(1+G159/30),1))</f>
        <v/>
      </c>
      <c r="J159" s="11" t="n"/>
    </row>
    <row r="160">
      <c r="A160" s="13" t="n"/>
      <c r="B160" s="10">
        <f>IF(A160="","",A160-'Daily Check-In'!$B$4+1)</f>
        <v/>
      </c>
      <c r="C160" s="11" t="n"/>
      <c r="D160" s="11" t="n"/>
      <c r="E160" s="11" t="n"/>
      <c r="F160" s="14" t="n"/>
      <c r="G160" s="14" t="n"/>
      <c r="H160" s="14" t="n"/>
      <c r="I160" s="10">
        <f>IF(OR(F160="",G160=""),"",ROUND(F160*(1+G160/30),1))</f>
        <v/>
      </c>
      <c r="J160" s="11" t="n"/>
    </row>
    <row r="161">
      <c r="A161" s="13" t="n"/>
      <c r="B161" s="10">
        <f>IF(A161="","",A161-'Daily Check-In'!$B$4+1)</f>
        <v/>
      </c>
      <c r="C161" s="11" t="n"/>
      <c r="D161" s="11" t="n"/>
      <c r="E161" s="11" t="n"/>
      <c r="F161" s="14" t="n"/>
      <c r="G161" s="14" t="n"/>
      <c r="H161" s="14" t="n"/>
      <c r="I161" s="10">
        <f>IF(OR(F161="",G161=""),"",ROUND(F161*(1+G161/30),1))</f>
        <v/>
      </c>
      <c r="J161" s="11" t="n"/>
    </row>
    <row r="162">
      <c r="A162" s="13" t="n"/>
      <c r="B162" s="10">
        <f>IF(A162="","",A162-'Daily Check-In'!$B$4+1)</f>
        <v/>
      </c>
      <c r="C162" s="11" t="n"/>
      <c r="D162" s="11" t="n"/>
      <c r="E162" s="11" t="n"/>
      <c r="F162" s="14" t="n"/>
      <c r="G162" s="14" t="n"/>
      <c r="H162" s="14" t="n"/>
      <c r="I162" s="10">
        <f>IF(OR(F162="",G162=""),"",ROUND(F162*(1+G162/30),1))</f>
        <v/>
      </c>
      <c r="J162" s="11" t="n"/>
    </row>
    <row r="163">
      <c r="A163" s="13" t="n"/>
      <c r="B163" s="10">
        <f>IF(A163="","",A163-'Daily Check-In'!$B$4+1)</f>
        <v/>
      </c>
      <c r="C163" s="11" t="n"/>
      <c r="D163" s="11" t="n"/>
      <c r="E163" s="11" t="n"/>
      <c r="F163" s="14" t="n"/>
      <c r="G163" s="14" t="n"/>
      <c r="H163" s="14" t="n"/>
      <c r="I163" s="10">
        <f>IF(OR(F163="",G163=""),"",ROUND(F163*(1+G163/30),1))</f>
        <v/>
      </c>
      <c r="J163" s="11" t="n"/>
    </row>
    <row r="164">
      <c r="A164" s="13" t="n"/>
      <c r="B164" s="10">
        <f>IF(A164="","",A164-'Daily Check-In'!$B$4+1)</f>
        <v/>
      </c>
      <c r="C164" s="11" t="n"/>
      <c r="D164" s="11" t="n"/>
      <c r="E164" s="11" t="n"/>
      <c r="F164" s="14" t="n"/>
      <c r="G164" s="14" t="n"/>
      <c r="H164" s="14" t="n"/>
      <c r="I164" s="10">
        <f>IF(OR(F164="",G164=""),"",ROUND(F164*(1+G164/30),1))</f>
        <v/>
      </c>
      <c r="J164" s="11" t="n"/>
    </row>
    <row r="165">
      <c r="A165" s="13" t="n"/>
      <c r="B165" s="10">
        <f>IF(A165="","",A165-'Daily Check-In'!$B$4+1)</f>
        <v/>
      </c>
      <c r="C165" s="11" t="n"/>
      <c r="D165" s="11" t="n"/>
      <c r="E165" s="11" t="n"/>
      <c r="F165" s="14" t="n"/>
      <c r="G165" s="14" t="n"/>
      <c r="H165" s="14" t="n"/>
      <c r="I165" s="10">
        <f>IF(OR(F165="",G165=""),"",ROUND(F165*(1+G165/30),1))</f>
        <v/>
      </c>
      <c r="J165" s="11" t="n"/>
    </row>
    <row r="166">
      <c r="A166" s="13" t="n"/>
      <c r="B166" s="10">
        <f>IF(A166="","",A166-'Daily Check-In'!$B$4+1)</f>
        <v/>
      </c>
      <c r="C166" s="11" t="n"/>
      <c r="D166" s="11" t="n"/>
      <c r="E166" s="11" t="n"/>
      <c r="F166" s="14" t="n"/>
      <c r="G166" s="14" t="n"/>
      <c r="H166" s="14" t="n"/>
      <c r="I166" s="10">
        <f>IF(OR(F166="",G166=""),"",ROUND(F166*(1+G166/30),1))</f>
        <v/>
      </c>
      <c r="J166" s="11" t="n"/>
    </row>
    <row r="167">
      <c r="A167" s="13" t="n"/>
      <c r="B167" s="10">
        <f>IF(A167="","",A167-'Daily Check-In'!$B$4+1)</f>
        <v/>
      </c>
      <c r="C167" s="11" t="n"/>
      <c r="D167" s="11" t="n"/>
      <c r="E167" s="11" t="n"/>
      <c r="F167" s="14" t="n"/>
      <c r="G167" s="14" t="n"/>
      <c r="H167" s="14" t="n"/>
      <c r="I167" s="10">
        <f>IF(OR(F167="",G167=""),"",ROUND(F167*(1+G167/30),1))</f>
        <v/>
      </c>
      <c r="J167" s="11" t="n"/>
    </row>
    <row r="168">
      <c r="A168" s="13" t="n"/>
      <c r="B168" s="10">
        <f>IF(A168="","",A168-'Daily Check-In'!$B$4+1)</f>
        <v/>
      </c>
      <c r="C168" s="11" t="n"/>
      <c r="D168" s="11" t="n"/>
      <c r="E168" s="11" t="n"/>
      <c r="F168" s="14" t="n"/>
      <c r="G168" s="14" t="n"/>
      <c r="H168" s="14" t="n"/>
      <c r="I168" s="10">
        <f>IF(OR(F168="",G168=""),"",ROUND(F168*(1+G168/30),1))</f>
        <v/>
      </c>
      <c r="J168" s="11" t="n"/>
    </row>
    <row r="169">
      <c r="A169" s="13" t="n"/>
      <c r="B169" s="10">
        <f>IF(A169="","",A169-'Daily Check-In'!$B$4+1)</f>
        <v/>
      </c>
      <c r="C169" s="11" t="n"/>
      <c r="D169" s="11" t="n"/>
      <c r="E169" s="11" t="n"/>
      <c r="F169" s="14" t="n"/>
      <c r="G169" s="14" t="n"/>
      <c r="H169" s="14" t="n"/>
      <c r="I169" s="10">
        <f>IF(OR(F169="",G169=""),"",ROUND(F169*(1+G169/30),1))</f>
        <v/>
      </c>
      <c r="J169" s="11" t="n"/>
    </row>
    <row r="170">
      <c r="A170" s="13" t="n"/>
      <c r="B170" s="10">
        <f>IF(A170="","",A170-'Daily Check-In'!$B$4+1)</f>
        <v/>
      </c>
      <c r="C170" s="11" t="n"/>
      <c r="D170" s="11" t="n"/>
      <c r="E170" s="11" t="n"/>
      <c r="F170" s="14" t="n"/>
      <c r="G170" s="14" t="n"/>
      <c r="H170" s="14" t="n"/>
      <c r="I170" s="10">
        <f>IF(OR(F170="",G170=""),"",ROUND(F170*(1+G170/30),1))</f>
        <v/>
      </c>
      <c r="J170" s="11" t="n"/>
    </row>
    <row r="171">
      <c r="A171" s="13" t="n"/>
      <c r="B171" s="10">
        <f>IF(A171="","",A171-'Daily Check-In'!$B$4+1)</f>
        <v/>
      </c>
      <c r="C171" s="11" t="n"/>
      <c r="D171" s="11" t="n"/>
      <c r="E171" s="11" t="n"/>
      <c r="F171" s="14" t="n"/>
      <c r="G171" s="14" t="n"/>
      <c r="H171" s="14" t="n"/>
      <c r="I171" s="10">
        <f>IF(OR(F171="",G171=""),"",ROUND(F171*(1+G171/30),1))</f>
        <v/>
      </c>
      <c r="J171" s="11" t="n"/>
    </row>
    <row r="172">
      <c r="A172" s="13" t="n"/>
      <c r="B172" s="10">
        <f>IF(A172="","",A172-'Daily Check-In'!$B$4+1)</f>
        <v/>
      </c>
      <c r="C172" s="11" t="n"/>
      <c r="D172" s="11" t="n"/>
      <c r="E172" s="11" t="n"/>
      <c r="F172" s="14" t="n"/>
      <c r="G172" s="14" t="n"/>
      <c r="H172" s="14" t="n"/>
      <c r="I172" s="10">
        <f>IF(OR(F172="",G172=""),"",ROUND(F172*(1+G172/30),1))</f>
        <v/>
      </c>
      <c r="J172" s="11" t="n"/>
    </row>
    <row r="173">
      <c r="A173" s="13" t="n"/>
      <c r="B173" s="10">
        <f>IF(A173="","",A173-'Daily Check-In'!$B$4+1)</f>
        <v/>
      </c>
      <c r="C173" s="11" t="n"/>
      <c r="D173" s="11" t="n"/>
      <c r="E173" s="11" t="n"/>
      <c r="F173" s="14" t="n"/>
      <c r="G173" s="14" t="n"/>
      <c r="H173" s="14" t="n"/>
      <c r="I173" s="10">
        <f>IF(OR(F173="",G173=""),"",ROUND(F173*(1+G173/30),1))</f>
        <v/>
      </c>
      <c r="J173" s="11" t="n"/>
    </row>
    <row r="174">
      <c r="A174" s="13" t="n"/>
      <c r="B174" s="10">
        <f>IF(A174="","",A174-'Daily Check-In'!$B$4+1)</f>
        <v/>
      </c>
      <c r="C174" s="11" t="n"/>
      <c r="D174" s="11" t="n"/>
      <c r="E174" s="11" t="n"/>
      <c r="F174" s="14" t="n"/>
      <c r="G174" s="14" t="n"/>
      <c r="H174" s="14" t="n"/>
      <c r="I174" s="10">
        <f>IF(OR(F174="",G174=""),"",ROUND(F174*(1+G174/30),1))</f>
        <v/>
      </c>
      <c r="J174" s="11" t="n"/>
    </row>
    <row r="175">
      <c r="A175" s="13" t="n"/>
      <c r="B175" s="10">
        <f>IF(A175="","",A175-'Daily Check-In'!$B$4+1)</f>
        <v/>
      </c>
      <c r="C175" s="11" t="n"/>
      <c r="D175" s="11" t="n"/>
      <c r="E175" s="11" t="n"/>
      <c r="F175" s="14" t="n"/>
      <c r="G175" s="14" t="n"/>
      <c r="H175" s="14" t="n"/>
      <c r="I175" s="10">
        <f>IF(OR(F175="",G175=""),"",ROUND(F175*(1+G175/30),1))</f>
        <v/>
      </c>
      <c r="J175" s="11" t="n"/>
    </row>
    <row r="176">
      <c r="A176" s="13" t="n"/>
      <c r="B176" s="10">
        <f>IF(A176="","",A176-'Daily Check-In'!$B$4+1)</f>
        <v/>
      </c>
      <c r="C176" s="11" t="n"/>
      <c r="D176" s="11" t="n"/>
      <c r="E176" s="11" t="n"/>
      <c r="F176" s="14" t="n"/>
      <c r="G176" s="14" t="n"/>
      <c r="H176" s="14" t="n"/>
      <c r="I176" s="10">
        <f>IF(OR(F176="",G176=""),"",ROUND(F176*(1+G176/30),1))</f>
        <v/>
      </c>
      <c r="J176" s="11" t="n"/>
    </row>
    <row r="177">
      <c r="A177" s="13" t="n"/>
      <c r="B177" s="10">
        <f>IF(A177="","",A177-'Daily Check-In'!$B$4+1)</f>
        <v/>
      </c>
      <c r="C177" s="11" t="n"/>
      <c r="D177" s="11" t="n"/>
      <c r="E177" s="11" t="n"/>
      <c r="F177" s="14" t="n"/>
      <c r="G177" s="14" t="n"/>
      <c r="H177" s="14" t="n"/>
      <c r="I177" s="10">
        <f>IF(OR(F177="",G177=""),"",ROUND(F177*(1+G177/30),1))</f>
        <v/>
      </c>
      <c r="J177" s="11" t="n"/>
    </row>
    <row r="178">
      <c r="A178" s="13" t="n"/>
      <c r="B178" s="10">
        <f>IF(A178="","",A178-'Daily Check-In'!$B$4+1)</f>
        <v/>
      </c>
      <c r="C178" s="11" t="n"/>
      <c r="D178" s="11" t="n"/>
      <c r="E178" s="11" t="n"/>
      <c r="F178" s="14" t="n"/>
      <c r="G178" s="14" t="n"/>
      <c r="H178" s="14" t="n"/>
      <c r="I178" s="10">
        <f>IF(OR(F178="",G178=""),"",ROUND(F178*(1+G178/30),1))</f>
        <v/>
      </c>
      <c r="J178" s="11" t="n"/>
    </row>
    <row r="179">
      <c r="A179" s="13" t="n"/>
      <c r="B179" s="10">
        <f>IF(A179="","",A179-'Daily Check-In'!$B$4+1)</f>
        <v/>
      </c>
      <c r="C179" s="11" t="n"/>
      <c r="D179" s="11" t="n"/>
      <c r="E179" s="11" t="n"/>
      <c r="F179" s="14" t="n"/>
      <c r="G179" s="14" t="n"/>
      <c r="H179" s="14" t="n"/>
      <c r="I179" s="10">
        <f>IF(OR(F179="",G179=""),"",ROUND(F179*(1+G179/30),1))</f>
        <v/>
      </c>
      <c r="J179" s="11" t="n"/>
    </row>
    <row r="180">
      <c r="A180" s="13" t="n"/>
      <c r="B180" s="10">
        <f>IF(A180="","",A180-'Daily Check-In'!$B$4+1)</f>
        <v/>
      </c>
      <c r="C180" s="11" t="n"/>
      <c r="D180" s="11" t="n"/>
      <c r="E180" s="11" t="n"/>
      <c r="F180" s="14" t="n"/>
      <c r="G180" s="14" t="n"/>
      <c r="H180" s="14" t="n"/>
      <c r="I180" s="10">
        <f>IF(OR(F180="",G180=""),"",ROUND(F180*(1+G180/30),1))</f>
        <v/>
      </c>
      <c r="J180" s="11" t="n"/>
    </row>
    <row r="181">
      <c r="A181" s="13" t="n"/>
      <c r="B181" s="10">
        <f>IF(A181="","",A181-'Daily Check-In'!$B$4+1)</f>
        <v/>
      </c>
      <c r="C181" s="11" t="n"/>
      <c r="D181" s="11" t="n"/>
      <c r="E181" s="11" t="n"/>
      <c r="F181" s="14" t="n"/>
      <c r="G181" s="14" t="n"/>
      <c r="H181" s="14" t="n"/>
      <c r="I181" s="10">
        <f>IF(OR(F181="",G181=""),"",ROUND(F181*(1+G181/30),1))</f>
        <v/>
      </c>
      <c r="J181" s="11" t="n"/>
    </row>
    <row r="182">
      <c r="A182" s="13" t="n"/>
      <c r="B182" s="10">
        <f>IF(A182="","",A182-'Daily Check-In'!$B$4+1)</f>
        <v/>
      </c>
      <c r="C182" s="11" t="n"/>
      <c r="D182" s="11" t="n"/>
      <c r="E182" s="11" t="n"/>
      <c r="F182" s="14" t="n"/>
      <c r="G182" s="14" t="n"/>
      <c r="H182" s="14" t="n"/>
      <c r="I182" s="10">
        <f>IF(OR(F182="",G182=""),"",ROUND(F182*(1+G182/30),1))</f>
        <v/>
      </c>
      <c r="J182" s="11" t="n"/>
    </row>
    <row r="183">
      <c r="A183" s="13" t="n"/>
      <c r="B183" s="10">
        <f>IF(A183="","",A183-'Daily Check-In'!$B$4+1)</f>
        <v/>
      </c>
      <c r="C183" s="11" t="n"/>
      <c r="D183" s="11" t="n"/>
      <c r="E183" s="11" t="n"/>
      <c r="F183" s="14" t="n"/>
      <c r="G183" s="14" t="n"/>
      <c r="H183" s="14" t="n"/>
      <c r="I183" s="10">
        <f>IF(OR(F183="",G183=""),"",ROUND(F183*(1+G183/30),1))</f>
        <v/>
      </c>
      <c r="J183" s="11" t="n"/>
    </row>
    <row r="184">
      <c r="A184" s="13" t="n"/>
      <c r="B184" s="10">
        <f>IF(A184="","",A184-'Daily Check-In'!$B$4+1)</f>
        <v/>
      </c>
      <c r="C184" s="11" t="n"/>
      <c r="D184" s="11" t="n"/>
      <c r="E184" s="11" t="n"/>
      <c r="F184" s="14" t="n"/>
      <c r="G184" s="14" t="n"/>
      <c r="H184" s="14" t="n"/>
      <c r="I184" s="10">
        <f>IF(OR(F184="",G184=""),"",ROUND(F184*(1+G184/30),1))</f>
        <v/>
      </c>
      <c r="J184" s="11" t="n"/>
    </row>
    <row r="185">
      <c r="A185" s="13" t="n"/>
      <c r="B185" s="10">
        <f>IF(A185="","",A185-'Daily Check-In'!$B$4+1)</f>
        <v/>
      </c>
      <c r="C185" s="11" t="n"/>
      <c r="D185" s="11" t="n"/>
      <c r="E185" s="11" t="n"/>
      <c r="F185" s="14" t="n"/>
      <c r="G185" s="14" t="n"/>
      <c r="H185" s="14" t="n"/>
      <c r="I185" s="10">
        <f>IF(OR(F185="",G185=""),"",ROUND(F185*(1+G185/30),1))</f>
        <v/>
      </c>
      <c r="J185" s="11" t="n"/>
    </row>
    <row r="186">
      <c r="A186" s="13" t="n"/>
      <c r="B186" s="10">
        <f>IF(A186="","",A186-'Daily Check-In'!$B$4+1)</f>
        <v/>
      </c>
      <c r="C186" s="11" t="n"/>
      <c r="D186" s="11" t="n"/>
      <c r="E186" s="11" t="n"/>
      <c r="F186" s="14" t="n"/>
      <c r="G186" s="14" t="n"/>
      <c r="H186" s="14" t="n"/>
      <c r="I186" s="10">
        <f>IF(OR(F186="",G186=""),"",ROUND(F186*(1+G186/30),1))</f>
        <v/>
      </c>
      <c r="J186" s="11" t="n"/>
    </row>
    <row r="187">
      <c r="A187" s="13" t="n"/>
      <c r="B187" s="10">
        <f>IF(A187="","",A187-'Daily Check-In'!$B$4+1)</f>
        <v/>
      </c>
      <c r="C187" s="11" t="n"/>
      <c r="D187" s="11" t="n"/>
      <c r="E187" s="11" t="n"/>
      <c r="F187" s="14" t="n"/>
      <c r="G187" s="14" t="n"/>
      <c r="H187" s="14" t="n"/>
      <c r="I187" s="10">
        <f>IF(OR(F187="",G187=""),"",ROUND(F187*(1+G187/30),1))</f>
        <v/>
      </c>
      <c r="J187" s="11" t="n"/>
    </row>
    <row r="188">
      <c r="A188" s="13" t="n"/>
      <c r="B188" s="10">
        <f>IF(A188="","",A188-'Daily Check-In'!$B$4+1)</f>
        <v/>
      </c>
      <c r="C188" s="11" t="n"/>
      <c r="D188" s="11" t="n"/>
      <c r="E188" s="11" t="n"/>
      <c r="F188" s="14" t="n"/>
      <c r="G188" s="14" t="n"/>
      <c r="H188" s="14" t="n"/>
      <c r="I188" s="10">
        <f>IF(OR(F188="",G188=""),"",ROUND(F188*(1+G188/30),1))</f>
        <v/>
      </c>
      <c r="J188" s="11" t="n"/>
    </row>
    <row r="189">
      <c r="A189" s="13" t="n"/>
      <c r="B189" s="10">
        <f>IF(A189="","",A189-'Daily Check-In'!$B$4+1)</f>
        <v/>
      </c>
      <c r="C189" s="11" t="n"/>
      <c r="D189" s="11" t="n"/>
      <c r="E189" s="11" t="n"/>
      <c r="F189" s="14" t="n"/>
      <c r="G189" s="14" t="n"/>
      <c r="H189" s="14" t="n"/>
      <c r="I189" s="10">
        <f>IF(OR(F189="",G189=""),"",ROUND(F189*(1+G189/30),1))</f>
        <v/>
      </c>
      <c r="J189" s="11" t="n"/>
    </row>
    <row r="190">
      <c r="A190" s="13" t="n"/>
      <c r="B190" s="10">
        <f>IF(A190="","",A190-'Daily Check-In'!$B$4+1)</f>
        <v/>
      </c>
      <c r="C190" s="11" t="n"/>
      <c r="D190" s="11" t="n"/>
      <c r="E190" s="11" t="n"/>
      <c r="F190" s="14" t="n"/>
      <c r="G190" s="14" t="n"/>
      <c r="H190" s="14" t="n"/>
      <c r="I190" s="10">
        <f>IF(OR(F190="",G190=""),"",ROUND(F190*(1+G190/30),1))</f>
        <v/>
      </c>
      <c r="J190" s="11" t="n"/>
    </row>
    <row r="191">
      <c r="A191" s="13" t="n"/>
      <c r="B191" s="10">
        <f>IF(A191="","",A191-'Daily Check-In'!$B$4+1)</f>
        <v/>
      </c>
      <c r="C191" s="11" t="n"/>
      <c r="D191" s="11" t="n"/>
      <c r="E191" s="11" t="n"/>
      <c r="F191" s="14" t="n"/>
      <c r="G191" s="14" t="n"/>
      <c r="H191" s="14" t="n"/>
      <c r="I191" s="10">
        <f>IF(OR(F191="",G191=""),"",ROUND(F191*(1+G191/30),1))</f>
        <v/>
      </c>
      <c r="J191" s="11" t="n"/>
    </row>
    <row r="192">
      <c r="A192" s="13" t="n"/>
      <c r="B192" s="10">
        <f>IF(A192="","",A192-'Daily Check-In'!$B$4+1)</f>
        <v/>
      </c>
      <c r="C192" s="11" t="n"/>
      <c r="D192" s="11" t="n"/>
      <c r="E192" s="11" t="n"/>
      <c r="F192" s="14" t="n"/>
      <c r="G192" s="14" t="n"/>
      <c r="H192" s="14" t="n"/>
      <c r="I192" s="10">
        <f>IF(OR(F192="",G192=""),"",ROUND(F192*(1+G192/30),1))</f>
        <v/>
      </c>
      <c r="J192" s="11" t="n"/>
    </row>
    <row r="193">
      <c r="A193" s="13" t="n"/>
      <c r="B193" s="10">
        <f>IF(A193="","",A193-'Daily Check-In'!$B$4+1)</f>
        <v/>
      </c>
      <c r="C193" s="11" t="n"/>
      <c r="D193" s="11" t="n"/>
      <c r="E193" s="11" t="n"/>
      <c r="F193" s="14" t="n"/>
      <c r="G193" s="14" t="n"/>
      <c r="H193" s="14" t="n"/>
      <c r="I193" s="10">
        <f>IF(OR(F193="",G193=""),"",ROUND(F193*(1+G193/30),1))</f>
        <v/>
      </c>
      <c r="J193" s="11" t="n"/>
    </row>
    <row r="194">
      <c r="A194" s="13" t="n"/>
      <c r="B194" s="10">
        <f>IF(A194="","",A194-'Daily Check-In'!$B$4+1)</f>
        <v/>
      </c>
      <c r="C194" s="11" t="n"/>
      <c r="D194" s="11" t="n"/>
      <c r="E194" s="11" t="n"/>
      <c r="F194" s="14" t="n"/>
      <c r="G194" s="14" t="n"/>
      <c r="H194" s="14" t="n"/>
      <c r="I194" s="10">
        <f>IF(OR(F194="",G194=""),"",ROUND(F194*(1+G194/30),1))</f>
        <v/>
      </c>
      <c r="J194" s="11" t="n"/>
    </row>
    <row r="195">
      <c r="A195" s="13" t="n"/>
      <c r="B195" s="10">
        <f>IF(A195="","",A195-'Daily Check-In'!$B$4+1)</f>
        <v/>
      </c>
      <c r="C195" s="11" t="n"/>
      <c r="D195" s="11" t="n"/>
      <c r="E195" s="11" t="n"/>
      <c r="F195" s="14" t="n"/>
      <c r="G195" s="14" t="n"/>
      <c r="H195" s="14" t="n"/>
      <c r="I195" s="10">
        <f>IF(OR(F195="",G195=""),"",ROUND(F195*(1+G195/30),1))</f>
        <v/>
      </c>
      <c r="J195" s="11" t="n"/>
    </row>
    <row r="196">
      <c r="A196" s="13" t="n"/>
      <c r="B196" s="10">
        <f>IF(A196="","",A196-'Daily Check-In'!$B$4+1)</f>
        <v/>
      </c>
      <c r="C196" s="11" t="n"/>
      <c r="D196" s="11" t="n"/>
      <c r="E196" s="11" t="n"/>
      <c r="F196" s="14" t="n"/>
      <c r="G196" s="14" t="n"/>
      <c r="H196" s="14" t="n"/>
      <c r="I196" s="10">
        <f>IF(OR(F196="",G196=""),"",ROUND(F196*(1+G196/30),1))</f>
        <v/>
      </c>
      <c r="J196" s="11" t="n"/>
    </row>
    <row r="197">
      <c r="A197" s="13" t="n"/>
      <c r="B197" s="10">
        <f>IF(A197="","",A197-'Daily Check-In'!$B$4+1)</f>
        <v/>
      </c>
      <c r="C197" s="11" t="n"/>
      <c r="D197" s="11" t="n"/>
      <c r="E197" s="11" t="n"/>
      <c r="F197" s="14" t="n"/>
      <c r="G197" s="14" t="n"/>
      <c r="H197" s="14" t="n"/>
      <c r="I197" s="10">
        <f>IF(OR(F197="",G197=""),"",ROUND(F197*(1+G197/30),1))</f>
        <v/>
      </c>
      <c r="J197" s="11" t="n"/>
    </row>
    <row r="198">
      <c r="A198" s="13" t="n"/>
      <c r="B198" s="10">
        <f>IF(A198="","",A198-'Daily Check-In'!$B$4+1)</f>
        <v/>
      </c>
      <c r="C198" s="11" t="n"/>
      <c r="D198" s="11" t="n"/>
      <c r="E198" s="11" t="n"/>
      <c r="F198" s="14" t="n"/>
      <c r="G198" s="14" t="n"/>
      <c r="H198" s="14" t="n"/>
      <c r="I198" s="10">
        <f>IF(OR(F198="",G198=""),"",ROUND(F198*(1+G198/30),1))</f>
        <v/>
      </c>
      <c r="J198" s="11" t="n"/>
    </row>
    <row r="199">
      <c r="A199" s="13" t="n"/>
      <c r="B199" s="10">
        <f>IF(A199="","",A199-'Daily Check-In'!$B$4+1)</f>
        <v/>
      </c>
      <c r="C199" s="11" t="n"/>
      <c r="D199" s="11" t="n"/>
      <c r="E199" s="11" t="n"/>
      <c r="F199" s="14" t="n"/>
      <c r="G199" s="14" t="n"/>
      <c r="H199" s="14" t="n"/>
      <c r="I199" s="10">
        <f>IF(OR(F199="",G199=""),"",ROUND(F199*(1+G199/30),1))</f>
        <v/>
      </c>
      <c r="J199" s="11" t="n"/>
    </row>
    <row r="200">
      <c r="A200" s="13" t="n"/>
      <c r="B200" s="10">
        <f>IF(A200="","",A200-'Daily Check-In'!$B$4+1)</f>
        <v/>
      </c>
      <c r="C200" s="11" t="n"/>
      <c r="D200" s="11" t="n"/>
      <c r="E200" s="11" t="n"/>
      <c r="F200" s="14" t="n"/>
      <c r="G200" s="14" t="n"/>
      <c r="H200" s="14" t="n"/>
      <c r="I200" s="10">
        <f>IF(OR(F200="",G200=""),"",ROUND(F200*(1+G200/30),1))</f>
        <v/>
      </c>
      <c r="J200" s="11" t="n"/>
    </row>
    <row r="201">
      <c r="A201" s="13" t="n"/>
      <c r="B201" s="10">
        <f>IF(A201="","",A201-'Daily Check-In'!$B$4+1)</f>
        <v/>
      </c>
      <c r="C201" s="11" t="n"/>
      <c r="D201" s="11" t="n"/>
      <c r="E201" s="11" t="n"/>
      <c r="F201" s="14" t="n"/>
      <c r="G201" s="14" t="n"/>
      <c r="H201" s="14" t="n"/>
      <c r="I201" s="10">
        <f>IF(OR(F201="",G201=""),"",ROUND(F201*(1+G201/30),1))</f>
        <v/>
      </c>
      <c r="J201" s="11" t="n"/>
    </row>
    <row r="202">
      <c r="A202" s="13" t="n"/>
      <c r="B202" s="10">
        <f>IF(A202="","",A202-'Daily Check-In'!$B$4+1)</f>
        <v/>
      </c>
      <c r="C202" s="11" t="n"/>
      <c r="D202" s="11" t="n"/>
      <c r="E202" s="11" t="n"/>
      <c r="F202" s="14" t="n"/>
      <c r="G202" s="14" t="n"/>
      <c r="H202" s="14" t="n"/>
      <c r="I202" s="10">
        <f>IF(OR(F202="",G202=""),"",ROUND(F202*(1+G202/30),1))</f>
        <v/>
      </c>
      <c r="J202" s="11" t="n"/>
    </row>
    <row r="203">
      <c r="A203" s="13" t="n"/>
      <c r="B203" s="10">
        <f>IF(A203="","",A203-'Daily Check-In'!$B$4+1)</f>
        <v/>
      </c>
      <c r="C203" s="11" t="n"/>
      <c r="D203" s="11" t="n"/>
      <c r="E203" s="11" t="n"/>
      <c r="F203" s="14" t="n"/>
      <c r="G203" s="14" t="n"/>
      <c r="H203" s="14" t="n"/>
      <c r="I203" s="10">
        <f>IF(OR(F203="",G203=""),"",ROUND(F203*(1+G203/30),1))</f>
        <v/>
      </c>
      <c r="J203" s="11" t="n"/>
    </row>
    <row r="204">
      <c r="A204" s="13" t="n"/>
      <c r="B204" s="10">
        <f>IF(A204="","",A204-'Daily Check-In'!$B$4+1)</f>
        <v/>
      </c>
      <c r="C204" s="11" t="n"/>
      <c r="D204" s="11" t="n"/>
      <c r="E204" s="11" t="n"/>
      <c r="F204" s="14" t="n"/>
      <c r="G204" s="14" t="n"/>
      <c r="H204" s="14" t="n"/>
      <c r="I204" s="10">
        <f>IF(OR(F204="",G204=""),"",ROUND(F204*(1+G204/30),1))</f>
        <v/>
      </c>
      <c r="J204" s="11" t="n"/>
    </row>
    <row r="205">
      <c r="A205" s="13" t="n"/>
      <c r="B205" s="10">
        <f>IF(A205="","",A205-'Daily Check-In'!$B$4+1)</f>
        <v/>
      </c>
      <c r="C205" s="11" t="n"/>
      <c r="D205" s="11" t="n"/>
      <c r="E205" s="11" t="n"/>
      <c r="F205" s="14" t="n"/>
      <c r="G205" s="14" t="n"/>
      <c r="H205" s="14" t="n"/>
      <c r="I205" s="10">
        <f>IF(OR(F205="",G205=""),"",ROUND(F205*(1+G205/30),1))</f>
        <v/>
      </c>
      <c r="J205" s="11" t="n"/>
    </row>
    <row r="206">
      <c r="A206" s="13" t="n"/>
      <c r="B206" s="10">
        <f>IF(A206="","",A206-'Daily Check-In'!$B$4+1)</f>
        <v/>
      </c>
      <c r="C206" s="11" t="n"/>
      <c r="D206" s="11" t="n"/>
      <c r="E206" s="11" t="n"/>
      <c r="F206" s="14" t="n"/>
      <c r="G206" s="14" t="n"/>
      <c r="H206" s="14" t="n"/>
      <c r="I206" s="10">
        <f>IF(OR(F206="",G206=""),"",ROUND(F206*(1+G206/30),1))</f>
        <v/>
      </c>
      <c r="J206" s="11" t="n"/>
    </row>
    <row r="207">
      <c r="A207" s="13" t="n"/>
      <c r="B207" s="10">
        <f>IF(A207="","",A207-'Daily Check-In'!$B$4+1)</f>
        <v/>
      </c>
      <c r="C207" s="11" t="n"/>
      <c r="D207" s="11" t="n"/>
      <c r="E207" s="11" t="n"/>
      <c r="F207" s="14" t="n"/>
      <c r="G207" s="14" t="n"/>
      <c r="H207" s="14" t="n"/>
      <c r="I207" s="10">
        <f>IF(OR(F207="",G207=""),"",ROUND(F207*(1+G207/30),1))</f>
        <v/>
      </c>
      <c r="J207" s="11" t="n"/>
    </row>
    <row r="208">
      <c r="A208" s="13" t="n"/>
      <c r="B208" s="10">
        <f>IF(A208="","",A208-'Daily Check-In'!$B$4+1)</f>
        <v/>
      </c>
      <c r="C208" s="11" t="n"/>
      <c r="D208" s="11" t="n"/>
      <c r="E208" s="11" t="n"/>
      <c r="F208" s="14" t="n"/>
      <c r="G208" s="14" t="n"/>
      <c r="H208" s="14" t="n"/>
      <c r="I208" s="10">
        <f>IF(OR(F208="",G208=""),"",ROUND(F208*(1+G208/30),1))</f>
        <v/>
      </c>
      <c r="J208" s="11" t="n"/>
    </row>
    <row r="209">
      <c r="A209" s="13" t="n"/>
      <c r="B209" s="10">
        <f>IF(A209="","",A209-'Daily Check-In'!$B$4+1)</f>
        <v/>
      </c>
      <c r="C209" s="11" t="n"/>
      <c r="D209" s="11" t="n"/>
      <c r="E209" s="11" t="n"/>
      <c r="F209" s="14" t="n"/>
      <c r="G209" s="14" t="n"/>
      <c r="H209" s="14" t="n"/>
      <c r="I209" s="10">
        <f>IF(OR(F209="",G209=""),"",ROUND(F209*(1+G209/30),1))</f>
        <v/>
      </c>
      <c r="J209" s="11" t="n"/>
    </row>
    <row r="210">
      <c r="A210" s="13" t="n"/>
      <c r="B210" s="10">
        <f>IF(A210="","",A210-'Daily Check-In'!$B$4+1)</f>
        <v/>
      </c>
      <c r="C210" s="11" t="n"/>
      <c r="D210" s="11" t="n"/>
      <c r="E210" s="11" t="n"/>
      <c r="F210" s="14" t="n"/>
      <c r="G210" s="14" t="n"/>
      <c r="H210" s="14" t="n"/>
      <c r="I210" s="10">
        <f>IF(OR(F210="",G210=""),"",ROUND(F210*(1+G210/30),1))</f>
        <v/>
      </c>
      <c r="J210" s="11" t="n"/>
    </row>
    <row r="211">
      <c r="A211" s="13" t="n"/>
      <c r="B211" s="10">
        <f>IF(A211="","",A211-'Daily Check-In'!$B$4+1)</f>
        <v/>
      </c>
      <c r="C211" s="11" t="n"/>
      <c r="D211" s="11" t="n"/>
      <c r="E211" s="11" t="n"/>
      <c r="F211" s="14" t="n"/>
      <c r="G211" s="14" t="n"/>
      <c r="H211" s="14" t="n"/>
      <c r="I211" s="10">
        <f>IF(OR(F211="",G211=""),"",ROUND(F211*(1+G211/30),1))</f>
        <v/>
      </c>
      <c r="J211" s="11" t="n"/>
    </row>
    <row r="212">
      <c r="A212" s="13" t="n"/>
      <c r="B212" s="10">
        <f>IF(A212="","",A212-'Daily Check-In'!$B$4+1)</f>
        <v/>
      </c>
      <c r="C212" s="11" t="n"/>
      <c r="D212" s="11" t="n"/>
      <c r="E212" s="11" t="n"/>
      <c r="F212" s="14" t="n"/>
      <c r="G212" s="14" t="n"/>
      <c r="H212" s="14" t="n"/>
      <c r="I212" s="10">
        <f>IF(OR(F212="",G212=""),"",ROUND(F212*(1+G212/30),1))</f>
        <v/>
      </c>
      <c r="J212" s="11" t="n"/>
    </row>
    <row r="213">
      <c r="A213" s="13" t="n"/>
      <c r="B213" s="10">
        <f>IF(A213="","",A213-'Daily Check-In'!$B$4+1)</f>
        <v/>
      </c>
      <c r="C213" s="11" t="n"/>
      <c r="D213" s="11" t="n"/>
      <c r="E213" s="11" t="n"/>
      <c r="F213" s="14" t="n"/>
      <c r="G213" s="14" t="n"/>
      <c r="H213" s="14" t="n"/>
      <c r="I213" s="10">
        <f>IF(OR(F213="",G213=""),"",ROUND(F213*(1+G213/30),1))</f>
        <v/>
      </c>
      <c r="J213" s="11" t="n"/>
    </row>
    <row r="214">
      <c r="A214" s="13" t="n"/>
      <c r="B214" s="10">
        <f>IF(A214="","",A214-'Daily Check-In'!$B$4+1)</f>
        <v/>
      </c>
      <c r="C214" s="11" t="n"/>
      <c r="D214" s="11" t="n"/>
      <c r="E214" s="11" t="n"/>
      <c r="F214" s="14" t="n"/>
      <c r="G214" s="14" t="n"/>
      <c r="H214" s="14" t="n"/>
      <c r="I214" s="10">
        <f>IF(OR(F214="",G214=""),"",ROUND(F214*(1+G214/30),1))</f>
        <v/>
      </c>
      <c r="J214" s="11" t="n"/>
    </row>
    <row r="215">
      <c r="A215" s="13" t="n"/>
      <c r="B215" s="10">
        <f>IF(A215="","",A215-'Daily Check-In'!$B$4+1)</f>
        <v/>
      </c>
      <c r="C215" s="11" t="n"/>
      <c r="D215" s="11" t="n"/>
      <c r="E215" s="11" t="n"/>
      <c r="F215" s="14" t="n"/>
      <c r="G215" s="14" t="n"/>
      <c r="H215" s="14" t="n"/>
      <c r="I215" s="10">
        <f>IF(OR(F215="",G215=""),"",ROUND(F215*(1+G215/30),1))</f>
        <v/>
      </c>
      <c r="J215" s="11" t="n"/>
    </row>
    <row r="216">
      <c r="A216" s="13" t="n"/>
      <c r="B216" s="10">
        <f>IF(A216="","",A216-'Daily Check-In'!$B$4+1)</f>
        <v/>
      </c>
      <c r="C216" s="11" t="n"/>
      <c r="D216" s="11" t="n"/>
      <c r="E216" s="11" t="n"/>
      <c r="F216" s="14" t="n"/>
      <c r="G216" s="14" t="n"/>
      <c r="H216" s="14" t="n"/>
      <c r="I216" s="10">
        <f>IF(OR(F216="",G216=""),"",ROUND(F216*(1+G216/30),1))</f>
        <v/>
      </c>
      <c r="J216" s="11" t="n"/>
    </row>
    <row r="217">
      <c r="A217" s="13" t="n"/>
      <c r="B217" s="10">
        <f>IF(A217="","",A217-'Daily Check-In'!$B$4+1)</f>
        <v/>
      </c>
      <c r="C217" s="11" t="n"/>
      <c r="D217" s="11" t="n"/>
      <c r="E217" s="11" t="n"/>
      <c r="F217" s="14" t="n"/>
      <c r="G217" s="14" t="n"/>
      <c r="H217" s="14" t="n"/>
      <c r="I217" s="10">
        <f>IF(OR(F217="",G217=""),"",ROUND(F217*(1+G217/30),1))</f>
        <v/>
      </c>
      <c r="J217" s="11" t="n"/>
    </row>
    <row r="218">
      <c r="A218" s="13" t="n"/>
      <c r="B218" s="10">
        <f>IF(A218="","",A218-'Daily Check-In'!$B$4+1)</f>
        <v/>
      </c>
      <c r="C218" s="11" t="n"/>
      <c r="D218" s="11" t="n"/>
      <c r="E218" s="11" t="n"/>
      <c r="F218" s="14" t="n"/>
      <c r="G218" s="14" t="n"/>
      <c r="H218" s="14" t="n"/>
      <c r="I218" s="10">
        <f>IF(OR(F218="",G218=""),"",ROUND(F218*(1+G218/30),1))</f>
        <v/>
      </c>
      <c r="J218" s="11" t="n"/>
    </row>
    <row r="219">
      <c r="A219" s="13" t="n"/>
      <c r="B219" s="10">
        <f>IF(A219="","",A219-'Daily Check-In'!$B$4+1)</f>
        <v/>
      </c>
      <c r="C219" s="11" t="n"/>
      <c r="D219" s="11" t="n"/>
      <c r="E219" s="11" t="n"/>
      <c r="F219" s="14" t="n"/>
      <c r="G219" s="14" t="n"/>
      <c r="H219" s="14" t="n"/>
      <c r="I219" s="10">
        <f>IF(OR(F219="",G219=""),"",ROUND(F219*(1+G219/30),1))</f>
        <v/>
      </c>
      <c r="J219" s="11" t="n"/>
    </row>
    <row r="220">
      <c r="A220" s="13" t="n"/>
      <c r="B220" s="10">
        <f>IF(A220="","",A220-'Daily Check-In'!$B$4+1)</f>
        <v/>
      </c>
      <c r="C220" s="11" t="n"/>
      <c r="D220" s="11" t="n"/>
      <c r="E220" s="11" t="n"/>
      <c r="F220" s="14" t="n"/>
      <c r="G220" s="14" t="n"/>
      <c r="H220" s="14" t="n"/>
      <c r="I220" s="10">
        <f>IF(OR(F220="",G220=""),"",ROUND(F220*(1+G220/30),1))</f>
        <v/>
      </c>
      <c r="J220" s="11" t="n"/>
    </row>
    <row r="221">
      <c r="A221" s="13" t="n"/>
      <c r="B221" s="10">
        <f>IF(A221="","",A221-'Daily Check-In'!$B$4+1)</f>
        <v/>
      </c>
      <c r="C221" s="11" t="n"/>
      <c r="D221" s="11" t="n"/>
      <c r="E221" s="11" t="n"/>
      <c r="F221" s="14" t="n"/>
      <c r="G221" s="14" t="n"/>
      <c r="H221" s="14" t="n"/>
      <c r="I221" s="10">
        <f>IF(OR(F221="",G221=""),"",ROUND(F221*(1+G221/30),1))</f>
        <v/>
      </c>
      <c r="J221" s="11" t="n"/>
    </row>
    <row r="222">
      <c r="A222" s="13" t="n"/>
      <c r="B222" s="10">
        <f>IF(A222="","",A222-'Daily Check-In'!$B$4+1)</f>
        <v/>
      </c>
      <c r="C222" s="11" t="n"/>
      <c r="D222" s="11" t="n"/>
      <c r="E222" s="11" t="n"/>
      <c r="F222" s="14" t="n"/>
      <c r="G222" s="14" t="n"/>
      <c r="H222" s="14" t="n"/>
      <c r="I222" s="10">
        <f>IF(OR(F222="",G222=""),"",ROUND(F222*(1+G222/30),1))</f>
        <v/>
      </c>
      <c r="J222" s="11" t="n"/>
    </row>
    <row r="223">
      <c r="A223" s="13" t="n"/>
      <c r="B223" s="10">
        <f>IF(A223="","",A223-'Daily Check-In'!$B$4+1)</f>
        <v/>
      </c>
      <c r="C223" s="11" t="n"/>
      <c r="D223" s="11" t="n"/>
      <c r="E223" s="11" t="n"/>
      <c r="F223" s="14" t="n"/>
      <c r="G223" s="14" t="n"/>
      <c r="H223" s="14" t="n"/>
      <c r="I223" s="10">
        <f>IF(OR(F223="",G223=""),"",ROUND(F223*(1+G223/30),1))</f>
        <v/>
      </c>
      <c r="J223" s="11" t="n"/>
    </row>
    <row r="224">
      <c r="A224" s="13" t="n"/>
      <c r="B224" s="10">
        <f>IF(A224="","",A224-'Daily Check-In'!$B$4+1)</f>
        <v/>
      </c>
      <c r="C224" s="11" t="n"/>
      <c r="D224" s="11" t="n"/>
      <c r="E224" s="11" t="n"/>
      <c r="F224" s="14" t="n"/>
      <c r="G224" s="14" t="n"/>
      <c r="H224" s="14" t="n"/>
      <c r="I224" s="10">
        <f>IF(OR(F224="",G224=""),"",ROUND(F224*(1+G224/30),1))</f>
        <v/>
      </c>
      <c r="J224" s="11" t="n"/>
    </row>
    <row r="225">
      <c r="A225" s="13" t="n"/>
      <c r="B225" s="10">
        <f>IF(A225="","",A225-'Daily Check-In'!$B$4+1)</f>
        <v/>
      </c>
      <c r="C225" s="11" t="n"/>
      <c r="D225" s="11" t="n"/>
      <c r="E225" s="11" t="n"/>
      <c r="F225" s="14" t="n"/>
      <c r="G225" s="14" t="n"/>
      <c r="H225" s="14" t="n"/>
      <c r="I225" s="10">
        <f>IF(OR(F225="",G225=""),"",ROUND(F225*(1+G225/30),1))</f>
        <v/>
      </c>
      <c r="J225" s="11" t="n"/>
    </row>
    <row r="226">
      <c r="A226" s="13" t="n"/>
      <c r="B226" s="10">
        <f>IF(A226="","",A226-'Daily Check-In'!$B$4+1)</f>
        <v/>
      </c>
      <c r="C226" s="11" t="n"/>
      <c r="D226" s="11" t="n"/>
      <c r="E226" s="11" t="n"/>
      <c r="F226" s="14" t="n"/>
      <c r="G226" s="14" t="n"/>
      <c r="H226" s="14" t="n"/>
      <c r="I226" s="10">
        <f>IF(OR(F226="",G226=""),"",ROUND(F226*(1+G226/30),1))</f>
        <v/>
      </c>
      <c r="J226" s="11" t="n"/>
    </row>
    <row r="227">
      <c r="A227" s="13" t="n"/>
      <c r="B227" s="10">
        <f>IF(A227="","",A227-'Daily Check-In'!$B$4+1)</f>
        <v/>
      </c>
      <c r="C227" s="11" t="n"/>
      <c r="D227" s="11" t="n"/>
      <c r="E227" s="11" t="n"/>
      <c r="F227" s="14" t="n"/>
      <c r="G227" s="14" t="n"/>
      <c r="H227" s="14" t="n"/>
      <c r="I227" s="10">
        <f>IF(OR(F227="",G227=""),"",ROUND(F227*(1+G227/30),1))</f>
        <v/>
      </c>
      <c r="J227" s="11" t="n"/>
    </row>
    <row r="228">
      <c r="A228" s="13" t="n"/>
      <c r="B228" s="10">
        <f>IF(A228="","",A228-'Daily Check-In'!$B$4+1)</f>
        <v/>
      </c>
      <c r="C228" s="11" t="n"/>
      <c r="D228" s="11" t="n"/>
      <c r="E228" s="11" t="n"/>
      <c r="F228" s="14" t="n"/>
      <c r="G228" s="14" t="n"/>
      <c r="H228" s="14" t="n"/>
      <c r="I228" s="10">
        <f>IF(OR(F228="",G228=""),"",ROUND(F228*(1+G228/30),1))</f>
        <v/>
      </c>
      <c r="J228" s="11" t="n"/>
    </row>
    <row r="229">
      <c r="A229" s="13" t="n"/>
      <c r="B229" s="10">
        <f>IF(A229="","",A229-'Daily Check-In'!$B$4+1)</f>
        <v/>
      </c>
      <c r="C229" s="11" t="n"/>
      <c r="D229" s="11" t="n"/>
      <c r="E229" s="11" t="n"/>
      <c r="F229" s="14" t="n"/>
      <c r="G229" s="14" t="n"/>
      <c r="H229" s="14" t="n"/>
      <c r="I229" s="10">
        <f>IF(OR(F229="",G229=""),"",ROUND(F229*(1+G229/30),1))</f>
        <v/>
      </c>
      <c r="J229" s="11" t="n"/>
    </row>
    <row r="230">
      <c r="A230" s="13" t="n"/>
      <c r="B230" s="10">
        <f>IF(A230="","",A230-'Daily Check-In'!$B$4+1)</f>
        <v/>
      </c>
      <c r="C230" s="11" t="n"/>
      <c r="D230" s="11" t="n"/>
      <c r="E230" s="11" t="n"/>
      <c r="F230" s="14" t="n"/>
      <c r="G230" s="14" t="n"/>
      <c r="H230" s="14" t="n"/>
      <c r="I230" s="10">
        <f>IF(OR(F230="",G230=""),"",ROUND(F230*(1+G230/30),1))</f>
        <v/>
      </c>
      <c r="J230" s="11" t="n"/>
    </row>
    <row r="231">
      <c r="A231" s="13" t="n"/>
      <c r="B231" s="10">
        <f>IF(A231="","",A231-'Daily Check-In'!$B$4+1)</f>
        <v/>
      </c>
      <c r="C231" s="11" t="n"/>
      <c r="D231" s="11" t="n"/>
      <c r="E231" s="11" t="n"/>
      <c r="F231" s="14" t="n"/>
      <c r="G231" s="14" t="n"/>
      <c r="H231" s="14" t="n"/>
      <c r="I231" s="10">
        <f>IF(OR(F231="",G231=""),"",ROUND(F231*(1+G231/30),1))</f>
        <v/>
      </c>
      <c r="J231" s="11" t="n"/>
    </row>
    <row r="232">
      <c r="A232" s="13" t="n"/>
      <c r="B232" s="10">
        <f>IF(A232="","",A232-'Daily Check-In'!$B$4+1)</f>
        <v/>
      </c>
      <c r="C232" s="11" t="n"/>
      <c r="D232" s="11" t="n"/>
      <c r="E232" s="11" t="n"/>
      <c r="F232" s="14" t="n"/>
      <c r="G232" s="14" t="n"/>
      <c r="H232" s="14" t="n"/>
      <c r="I232" s="10">
        <f>IF(OR(F232="",G232=""),"",ROUND(F232*(1+G232/30),1))</f>
        <v/>
      </c>
      <c r="J232" s="11" t="n"/>
    </row>
    <row r="233">
      <c r="A233" s="13" t="n"/>
      <c r="B233" s="10">
        <f>IF(A233="","",A233-'Daily Check-In'!$B$4+1)</f>
        <v/>
      </c>
      <c r="C233" s="11" t="n"/>
      <c r="D233" s="11" t="n"/>
      <c r="E233" s="11" t="n"/>
      <c r="F233" s="14" t="n"/>
      <c r="G233" s="14" t="n"/>
      <c r="H233" s="14" t="n"/>
      <c r="I233" s="10">
        <f>IF(OR(F233="",G233=""),"",ROUND(F233*(1+G233/30),1))</f>
        <v/>
      </c>
      <c r="J233" s="11" t="n"/>
    </row>
    <row r="234">
      <c r="A234" s="13" t="n"/>
      <c r="B234" s="10">
        <f>IF(A234="","",A234-'Daily Check-In'!$B$4+1)</f>
        <v/>
      </c>
      <c r="C234" s="11" t="n"/>
      <c r="D234" s="11" t="n"/>
      <c r="E234" s="11" t="n"/>
      <c r="F234" s="14" t="n"/>
      <c r="G234" s="14" t="n"/>
      <c r="H234" s="14" t="n"/>
      <c r="I234" s="10">
        <f>IF(OR(F234="",G234=""),"",ROUND(F234*(1+G234/30),1))</f>
        <v/>
      </c>
      <c r="J234" s="11" t="n"/>
    </row>
    <row r="235">
      <c r="A235" s="13" t="n"/>
      <c r="B235" s="10">
        <f>IF(A235="","",A235-'Daily Check-In'!$B$4+1)</f>
        <v/>
      </c>
      <c r="C235" s="11" t="n"/>
      <c r="D235" s="11" t="n"/>
      <c r="E235" s="11" t="n"/>
      <c r="F235" s="14" t="n"/>
      <c r="G235" s="14" t="n"/>
      <c r="H235" s="14" t="n"/>
      <c r="I235" s="10">
        <f>IF(OR(F235="",G235=""),"",ROUND(F235*(1+G235/30),1))</f>
        <v/>
      </c>
      <c r="J235" s="11" t="n"/>
    </row>
    <row r="236">
      <c r="A236" s="13" t="n"/>
      <c r="B236" s="10">
        <f>IF(A236="","",A236-'Daily Check-In'!$B$4+1)</f>
        <v/>
      </c>
      <c r="C236" s="11" t="n"/>
      <c r="D236" s="11" t="n"/>
      <c r="E236" s="11" t="n"/>
      <c r="F236" s="14" t="n"/>
      <c r="G236" s="14" t="n"/>
      <c r="H236" s="14" t="n"/>
      <c r="I236" s="10">
        <f>IF(OR(F236="",G236=""),"",ROUND(F236*(1+G236/30),1))</f>
        <v/>
      </c>
      <c r="J236" s="11" t="n"/>
    </row>
    <row r="237">
      <c r="A237" s="13" t="n"/>
      <c r="B237" s="10">
        <f>IF(A237="","",A237-'Daily Check-In'!$B$4+1)</f>
        <v/>
      </c>
      <c r="C237" s="11" t="n"/>
      <c r="D237" s="11" t="n"/>
      <c r="E237" s="11" t="n"/>
      <c r="F237" s="14" t="n"/>
      <c r="G237" s="14" t="n"/>
      <c r="H237" s="14" t="n"/>
      <c r="I237" s="10">
        <f>IF(OR(F237="",G237=""),"",ROUND(F237*(1+G237/30),1))</f>
        <v/>
      </c>
      <c r="J237" s="11" t="n"/>
    </row>
    <row r="238">
      <c r="A238" s="13" t="n"/>
      <c r="B238" s="10">
        <f>IF(A238="","",A238-'Daily Check-In'!$B$4+1)</f>
        <v/>
      </c>
      <c r="C238" s="11" t="n"/>
      <c r="D238" s="11" t="n"/>
      <c r="E238" s="11" t="n"/>
      <c r="F238" s="14" t="n"/>
      <c r="G238" s="14" t="n"/>
      <c r="H238" s="14" t="n"/>
      <c r="I238" s="10">
        <f>IF(OR(F238="",G238=""),"",ROUND(F238*(1+G238/30),1))</f>
        <v/>
      </c>
      <c r="J238" s="11" t="n"/>
    </row>
    <row r="239">
      <c r="A239" s="13" t="n"/>
      <c r="B239" s="10">
        <f>IF(A239="","",A239-'Daily Check-In'!$B$4+1)</f>
        <v/>
      </c>
      <c r="C239" s="11" t="n"/>
      <c r="D239" s="11" t="n"/>
      <c r="E239" s="11" t="n"/>
      <c r="F239" s="14" t="n"/>
      <c r="G239" s="14" t="n"/>
      <c r="H239" s="14" t="n"/>
      <c r="I239" s="10">
        <f>IF(OR(F239="",G239=""),"",ROUND(F239*(1+G239/30),1))</f>
        <v/>
      </c>
      <c r="J239" s="11" t="n"/>
    </row>
    <row r="240">
      <c r="A240" s="13" t="n"/>
      <c r="B240" s="10">
        <f>IF(A240="","",A240-'Daily Check-In'!$B$4+1)</f>
        <v/>
      </c>
      <c r="C240" s="11" t="n"/>
      <c r="D240" s="11" t="n"/>
      <c r="E240" s="11" t="n"/>
      <c r="F240" s="14" t="n"/>
      <c r="G240" s="14" t="n"/>
      <c r="H240" s="14" t="n"/>
      <c r="I240" s="10">
        <f>IF(OR(F240="",G240=""),"",ROUND(F240*(1+G240/30),1))</f>
        <v/>
      </c>
      <c r="J240" s="11" t="n"/>
    </row>
    <row r="241">
      <c r="A241" s="13" t="n"/>
      <c r="B241" s="10">
        <f>IF(A241="","",A241-'Daily Check-In'!$B$4+1)</f>
        <v/>
      </c>
      <c r="C241" s="11" t="n"/>
      <c r="D241" s="11" t="n"/>
      <c r="E241" s="11" t="n"/>
      <c r="F241" s="14" t="n"/>
      <c r="G241" s="14" t="n"/>
      <c r="H241" s="14" t="n"/>
      <c r="I241" s="10">
        <f>IF(OR(F241="",G241=""),"",ROUND(F241*(1+G241/30),1))</f>
        <v/>
      </c>
      <c r="J241" s="11" t="n"/>
    </row>
    <row r="242">
      <c r="A242" s="13" t="n"/>
      <c r="B242" s="10">
        <f>IF(A242="","",A242-'Daily Check-In'!$B$4+1)</f>
        <v/>
      </c>
      <c r="C242" s="11" t="n"/>
      <c r="D242" s="11" t="n"/>
      <c r="E242" s="11" t="n"/>
      <c r="F242" s="14" t="n"/>
      <c r="G242" s="14" t="n"/>
      <c r="H242" s="14" t="n"/>
      <c r="I242" s="10">
        <f>IF(OR(F242="",G242=""),"",ROUND(F242*(1+G242/30),1))</f>
        <v/>
      </c>
      <c r="J242" s="11" t="n"/>
    </row>
    <row r="243">
      <c r="A243" s="13" t="n"/>
      <c r="B243" s="10">
        <f>IF(A243="","",A243-'Daily Check-In'!$B$4+1)</f>
        <v/>
      </c>
      <c r="C243" s="11" t="n"/>
      <c r="D243" s="11" t="n"/>
      <c r="E243" s="11" t="n"/>
      <c r="F243" s="14" t="n"/>
      <c r="G243" s="14" t="n"/>
      <c r="H243" s="14" t="n"/>
      <c r="I243" s="10">
        <f>IF(OR(F243="",G243=""),"",ROUND(F243*(1+G243/30),1))</f>
        <v/>
      </c>
      <c r="J243" s="11" t="n"/>
    </row>
    <row r="244">
      <c r="A244" s="13" t="n"/>
      <c r="B244" s="10">
        <f>IF(A244="","",A244-'Daily Check-In'!$B$4+1)</f>
        <v/>
      </c>
      <c r="C244" s="11" t="n"/>
      <c r="D244" s="11" t="n"/>
      <c r="E244" s="11" t="n"/>
      <c r="F244" s="14" t="n"/>
      <c r="G244" s="14" t="n"/>
      <c r="H244" s="14" t="n"/>
      <c r="I244" s="10">
        <f>IF(OR(F244="",G244=""),"",ROUND(F244*(1+G244/30),1))</f>
        <v/>
      </c>
      <c r="J244" s="11" t="n"/>
    </row>
    <row r="245">
      <c r="A245" s="13" t="n"/>
      <c r="B245" s="10">
        <f>IF(A245="","",A245-'Daily Check-In'!$B$4+1)</f>
        <v/>
      </c>
      <c r="C245" s="11" t="n"/>
      <c r="D245" s="11" t="n"/>
      <c r="E245" s="11" t="n"/>
      <c r="F245" s="14" t="n"/>
      <c r="G245" s="14" t="n"/>
      <c r="H245" s="14" t="n"/>
      <c r="I245" s="10">
        <f>IF(OR(F245="",G245=""),"",ROUND(F245*(1+G245/30),1))</f>
        <v/>
      </c>
      <c r="J245" s="11" t="n"/>
    </row>
    <row r="246">
      <c r="A246" s="13" t="n"/>
      <c r="B246" s="10">
        <f>IF(A246="","",A246-'Daily Check-In'!$B$4+1)</f>
        <v/>
      </c>
      <c r="C246" s="11" t="n"/>
      <c r="D246" s="11" t="n"/>
      <c r="E246" s="11" t="n"/>
      <c r="F246" s="14" t="n"/>
      <c r="G246" s="14" t="n"/>
      <c r="H246" s="14" t="n"/>
      <c r="I246" s="10">
        <f>IF(OR(F246="",G246=""),"",ROUND(F246*(1+G246/30),1))</f>
        <v/>
      </c>
      <c r="J246" s="11" t="n"/>
    </row>
    <row r="247">
      <c r="A247" s="13" t="n"/>
      <c r="B247" s="10">
        <f>IF(A247="","",A247-'Daily Check-In'!$B$4+1)</f>
        <v/>
      </c>
      <c r="C247" s="11" t="n"/>
      <c r="D247" s="11" t="n"/>
      <c r="E247" s="11" t="n"/>
      <c r="F247" s="14" t="n"/>
      <c r="G247" s="14" t="n"/>
      <c r="H247" s="14" t="n"/>
      <c r="I247" s="10">
        <f>IF(OR(F247="",G247=""),"",ROUND(F247*(1+G247/30),1))</f>
        <v/>
      </c>
      <c r="J247" s="11" t="n"/>
    </row>
    <row r="248">
      <c r="A248" s="13" t="n"/>
      <c r="B248" s="10">
        <f>IF(A248="","",A248-'Daily Check-In'!$B$4+1)</f>
        <v/>
      </c>
      <c r="C248" s="11" t="n"/>
      <c r="D248" s="11" t="n"/>
      <c r="E248" s="11" t="n"/>
      <c r="F248" s="14" t="n"/>
      <c r="G248" s="14" t="n"/>
      <c r="H248" s="14" t="n"/>
      <c r="I248" s="10">
        <f>IF(OR(F248="",G248=""),"",ROUND(F248*(1+G248/30),1))</f>
        <v/>
      </c>
      <c r="J248" s="11" t="n"/>
    </row>
    <row r="249">
      <c r="A249" s="13" t="n"/>
      <c r="B249" s="10">
        <f>IF(A249="","",A249-'Daily Check-In'!$B$4+1)</f>
        <v/>
      </c>
      <c r="C249" s="11" t="n"/>
      <c r="D249" s="11" t="n"/>
      <c r="E249" s="11" t="n"/>
      <c r="F249" s="14" t="n"/>
      <c r="G249" s="14" t="n"/>
      <c r="H249" s="14" t="n"/>
      <c r="I249" s="10">
        <f>IF(OR(F249="",G249=""),"",ROUND(F249*(1+G249/30),1))</f>
        <v/>
      </c>
      <c r="J249" s="11" t="n"/>
    </row>
    <row r="250">
      <c r="A250" s="13" t="n"/>
      <c r="B250" s="10">
        <f>IF(A250="","",A250-'Daily Check-In'!$B$4+1)</f>
        <v/>
      </c>
      <c r="C250" s="11" t="n"/>
      <c r="D250" s="11" t="n"/>
      <c r="E250" s="11" t="n"/>
      <c r="F250" s="14" t="n"/>
      <c r="G250" s="14" t="n"/>
      <c r="H250" s="14" t="n"/>
      <c r="I250" s="10">
        <f>IF(OR(F250="",G250=""),"",ROUND(F250*(1+G250/30),1))</f>
        <v/>
      </c>
      <c r="J250" s="11" t="n"/>
    </row>
    <row r="251">
      <c r="A251" s="13" t="n"/>
      <c r="B251" s="10">
        <f>IF(A251="","",A251-'Daily Check-In'!$B$4+1)</f>
        <v/>
      </c>
      <c r="C251" s="11" t="n"/>
      <c r="D251" s="11" t="n"/>
      <c r="E251" s="11" t="n"/>
      <c r="F251" s="14" t="n"/>
      <c r="G251" s="14" t="n"/>
      <c r="H251" s="14" t="n"/>
      <c r="I251" s="10">
        <f>IF(OR(F251="",G251=""),"",ROUND(F251*(1+G251/30),1))</f>
        <v/>
      </c>
      <c r="J251" s="11" t="n"/>
    </row>
    <row r="252">
      <c r="A252" s="13" t="n"/>
      <c r="B252" s="10">
        <f>IF(A252="","",A252-'Daily Check-In'!$B$4+1)</f>
        <v/>
      </c>
      <c r="C252" s="11" t="n"/>
      <c r="D252" s="11" t="n"/>
      <c r="E252" s="11" t="n"/>
      <c r="F252" s="14" t="n"/>
      <c r="G252" s="14" t="n"/>
      <c r="H252" s="14" t="n"/>
      <c r="I252" s="10">
        <f>IF(OR(F252="",G252=""),"",ROUND(F252*(1+G252/30),1))</f>
        <v/>
      </c>
      <c r="J252" s="11" t="n"/>
    </row>
    <row r="253">
      <c r="A253" s="13" t="n"/>
      <c r="B253" s="10">
        <f>IF(A253="","",A253-'Daily Check-In'!$B$4+1)</f>
        <v/>
      </c>
      <c r="C253" s="11" t="n"/>
      <c r="D253" s="11" t="n"/>
      <c r="E253" s="11" t="n"/>
      <c r="F253" s="14" t="n"/>
      <c r="G253" s="14" t="n"/>
      <c r="H253" s="14" t="n"/>
      <c r="I253" s="10">
        <f>IF(OR(F253="",G253=""),"",ROUND(F253*(1+G253/30),1))</f>
        <v/>
      </c>
      <c r="J253" s="11" t="n"/>
    </row>
    <row r="254">
      <c r="A254" s="13" t="n"/>
      <c r="B254" s="10">
        <f>IF(A254="","",A254-'Daily Check-In'!$B$4+1)</f>
        <v/>
      </c>
      <c r="C254" s="11" t="n"/>
      <c r="D254" s="11" t="n"/>
      <c r="E254" s="11" t="n"/>
      <c r="F254" s="14" t="n"/>
      <c r="G254" s="14" t="n"/>
      <c r="H254" s="14" t="n"/>
      <c r="I254" s="10">
        <f>IF(OR(F254="",G254=""),"",ROUND(F254*(1+G254/30),1))</f>
        <v/>
      </c>
      <c r="J254" s="11" t="n"/>
    </row>
    <row r="255">
      <c r="A255" s="13" t="n"/>
      <c r="B255" s="10">
        <f>IF(A255="","",A255-'Daily Check-In'!$B$4+1)</f>
        <v/>
      </c>
      <c r="C255" s="11" t="n"/>
      <c r="D255" s="11" t="n"/>
      <c r="E255" s="11" t="n"/>
      <c r="F255" s="14" t="n"/>
      <c r="G255" s="14" t="n"/>
      <c r="H255" s="14" t="n"/>
      <c r="I255" s="10">
        <f>IF(OR(F255="",G255=""),"",ROUND(F255*(1+G255/30),1))</f>
        <v/>
      </c>
      <c r="J255" s="11" t="n"/>
    </row>
    <row r="256">
      <c r="A256" s="13" t="n"/>
      <c r="B256" s="10">
        <f>IF(A256="","",A256-'Daily Check-In'!$B$4+1)</f>
        <v/>
      </c>
      <c r="C256" s="11" t="n"/>
      <c r="D256" s="11" t="n"/>
      <c r="E256" s="11" t="n"/>
      <c r="F256" s="14" t="n"/>
      <c r="G256" s="14" t="n"/>
      <c r="H256" s="14" t="n"/>
      <c r="I256" s="10">
        <f>IF(OR(F256="",G256=""),"",ROUND(F256*(1+G256/30),1))</f>
        <v/>
      </c>
      <c r="J256" s="11" t="n"/>
    </row>
    <row r="257">
      <c r="A257" s="13" t="n"/>
      <c r="B257" s="10">
        <f>IF(A257="","",A257-'Daily Check-In'!$B$4+1)</f>
        <v/>
      </c>
      <c r="C257" s="11" t="n"/>
      <c r="D257" s="11" t="n"/>
      <c r="E257" s="11" t="n"/>
      <c r="F257" s="14" t="n"/>
      <c r="G257" s="14" t="n"/>
      <c r="H257" s="14" t="n"/>
      <c r="I257" s="10">
        <f>IF(OR(F257="",G257=""),"",ROUND(F257*(1+G257/30),1))</f>
        <v/>
      </c>
      <c r="J257" s="11" t="n"/>
    </row>
    <row r="258">
      <c r="A258" s="13" t="n"/>
      <c r="B258" s="10">
        <f>IF(A258="","",A258-'Daily Check-In'!$B$4+1)</f>
        <v/>
      </c>
      <c r="C258" s="11" t="n"/>
      <c r="D258" s="11" t="n"/>
      <c r="E258" s="11" t="n"/>
      <c r="F258" s="14" t="n"/>
      <c r="G258" s="14" t="n"/>
      <c r="H258" s="14" t="n"/>
      <c r="I258" s="10">
        <f>IF(OR(F258="",G258=""),"",ROUND(F258*(1+G258/30),1))</f>
        <v/>
      </c>
      <c r="J258" s="11" t="n"/>
    </row>
    <row r="259">
      <c r="A259" s="13" t="n"/>
      <c r="B259" s="10">
        <f>IF(A259="","",A259-'Daily Check-In'!$B$4+1)</f>
        <v/>
      </c>
      <c r="C259" s="11" t="n"/>
      <c r="D259" s="11" t="n"/>
      <c r="E259" s="11" t="n"/>
      <c r="F259" s="14" t="n"/>
      <c r="G259" s="14" t="n"/>
      <c r="H259" s="14" t="n"/>
      <c r="I259" s="10">
        <f>IF(OR(F259="",G259=""),"",ROUND(F259*(1+G259/30),1))</f>
        <v/>
      </c>
      <c r="J259" s="11" t="n"/>
    </row>
    <row r="260">
      <c r="A260" s="13" t="n"/>
      <c r="B260" s="10">
        <f>IF(A260="","",A260-'Daily Check-In'!$B$4+1)</f>
        <v/>
      </c>
      <c r="C260" s="11" t="n"/>
      <c r="D260" s="11" t="n"/>
      <c r="E260" s="11" t="n"/>
      <c r="F260" s="14" t="n"/>
      <c r="G260" s="14" t="n"/>
      <c r="H260" s="14" t="n"/>
      <c r="I260" s="10">
        <f>IF(OR(F260="",G260=""),"",ROUND(F260*(1+G260/30),1))</f>
        <v/>
      </c>
      <c r="J260" s="11" t="n"/>
    </row>
    <row r="261">
      <c r="A261" s="13" t="n"/>
      <c r="B261" s="10">
        <f>IF(A261="","",A261-'Daily Check-In'!$B$4+1)</f>
        <v/>
      </c>
      <c r="C261" s="11" t="n"/>
      <c r="D261" s="11" t="n"/>
      <c r="E261" s="11" t="n"/>
      <c r="F261" s="14" t="n"/>
      <c r="G261" s="14" t="n"/>
      <c r="H261" s="14" t="n"/>
      <c r="I261" s="10">
        <f>IF(OR(F261="",G261=""),"",ROUND(F261*(1+G261/30),1))</f>
        <v/>
      </c>
      <c r="J261" s="11" t="n"/>
    </row>
    <row r="262">
      <c r="A262" s="13" t="n"/>
      <c r="B262" s="10">
        <f>IF(A262="","",A262-'Daily Check-In'!$B$4+1)</f>
        <v/>
      </c>
      <c r="C262" s="11" t="n"/>
      <c r="D262" s="11" t="n"/>
      <c r="E262" s="11" t="n"/>
      <c r="F262" s="14" t="n"/>
      <c r="G262" s="14" t="n"/>
      <c r="H262" s="14" t="n"/>
      <c r="I262" s="10">
        <f>IF(OR(F262="",G262=""),"",ROUND(F262*(1+G262/30),1))</f>
        <v/>
      </c>
      <c r="J262" s="11" t="n"/>
    </row>
    <row r="263">
      <c r="A263" s="13" t="n"/>
      <c r="B263" s="10">
        <f>IF(A263="","",A263-'Daily Check-In'!$B$4+1)</f>
        <v/>
      </c>
      <c r="C263" s="11" t="n"/>
      <c r="D263" s="11" t="n"/>
      <c r="E263" s="11" t="n"/>
      <c r="F263" s="14" t="n"/>
      <c r="G263" s="14" t="n"/>
      <c r="H263" s="14" t="n"/>
      <c r="I263" s="10">
        <f>IF(OR(F263="",G263=""),"",ROUND(F263*(1+G263/30),1))</f>
        <v/>
      </c>
      <c r="J263" s="11" t="n"/>
    </row>
    <row r="264">
      <c r="A264" s="13" t="n"/>
      <c r="B264" s="10">
        <f>IF(A264="","",A264-'Daily Check-In'!$B$4+1)</f>
        <v/>
      </c>
      <c r="C264" s="11" t="n"/>
      <c r="D264" s="11" t="n"/>
      <c r="E264" s="11" t="n"/>
      <c r="F264" s="14" t="n"/>
      <c r="G264" s="14" t="n"/>
      <c r="H264" s="14" t="n"/>
      <c r="I264" s="10">
        <f>IF(OR(F264="",G264=""),"",ROUND(F264*(1+G264/30),1))</f>
        <v/>
      </c>
      <c r="J264" s="11" t="n"/>
    </row>
    <row r="265">
      <c r="A265" s="13" t="n"/>
      <c r="B265" s="10">
        <f>IF(A265="","",A265-'Daily Check-In'!$B$4+1)</f>
        <v/>
      </c>
      <c r="C265" s="11" t="n"/>
      <c r="D265" s="11" t="n"/>
      <c r="E265" s="11" t="n"/>
      <c r="F265" s="14" t="n"/>
      <c r="G265" s="14" t="n"/>
      <c r="H265" s="14" t="n"/>
      <c r="I265" s="10">
        <f>IF(OR(F265="",G265=""),"",ROUND(F265*(1+G265/30),1))</f>
        <v/>
      </c>
      <c r="J265" s="11" t="n"/>
    </row>
    <row r="266">
      <c r="A266" s="13" t="n"/>
      <c r="B266" s="10">
        <f>IF(A266="","",A266-'Daily Check-In'!$B$4+1)</f>
        <v/>
      </c>
      <c r="C266" s="11" t="n"/>
      <c r="D266" s="11" t="n"/>
      <c r="E266" s="11" t="n"/>
      <c r="F266" s="14" t="n"/>
      <c r="G266" s="14" t="n"/>
      <c r="H266" s="14" t="n"/>
      <c r="I266" s="10">
        <f>IF(OR(F266="",G266=""),"",ROUND(F266*(1+G266/30),1))</f>
        <v/>
      </c>
      <c r="J266" s="11" t="n"/>
    </row>
    <row r="267">
      <c r="A267" s="13" t="n"/>
      <c r="B267" s="10">
        <f>IF(A267="","",A267-'Daily Check-In'!$B$4+1)</f>
        <v/>
      </c>
      <c r="C267" s="11" t="n"/>
      <c r="D267" s="11" t="n"/>
      <c r="E267" s="11" t="n"/>
      <c r="F267" s="14" t="n"/>
      <c r="G267" s="14" t="n"/>
      <c r="H267" s="14" t="n"/>
      <c r="I267" s="10">
        <f>IF(OR(F267="",G267=""),"",ROUND(F267*(1+G267/30),1))</f>
        <v/>
      </c>
      <c r="J267" s="11" t="n"/>
    </row>
    <row r="268">
      <c r="A268" s="13" t="n"/>
      <c r="B268" s="10">
        <f>IF(A268="","",A268-'Daily Check-In'!$B$4+1)</f>
        <v/>
      </c>
      <c r="C268" s="11" t="n"/>
      <c r="D268" s="11" t="n"/>
      <c r="E268" s="11" t="n"/>
      <c r="F268" s="14" t="n"/>
      <c r="G268" s="14" t="n"/>
      <c r="H268" s="14" t="n"/>
      <c r="I268" s="10">
        <f>IF(OR(F268="",G268=""),"",ROUND(F268*(1+G268/30),1))</f>
        <v/>
      </c>
      <c r="J268" s="11" t="n"/>
    </row>
    <row r="269">
      <c r="A269" s="13" t="n"/>
      <c r="B269" s="10">
        <f>IF(A269="","",A269-'Daily Check-In'!$B$4+1)</f>
        <v/>
      </c>
      <c r="C269" s="11" t="n"/>
      <c r="D269" s="11" t="n"/>
      <c r="E269" s="11" t="n"/>
      <c r="F269" s="14" t="n"/>
      <c r="G269" s="14" t="n"/>
      <c r="H269" s="14" t="n"/>
      <c r="I269" s="10">
        <f>IF(OR(F269="",G269=""),"",ROUND(F269*(1+G269/30),1))</f>
        <v/>
      </c>
      <c r="J269" s="11" t="n"/>
    </row>
    <row r="270">
      <c r="A270" s="13" t="n"/>
      <c r="B270" s="10">
        <f>IF(A270="","",A270-'Daily Check-In'!$B$4+1)</f>
        <v/>
      </c>
      <c r="C270" s="11" t="n"/>
      <c r="D270" s="11" t="n"/>
      <c r="E270" s="11" t="n"/>
      <c r="F270" s="14" t="n"/>
      <c r="G270" s="14" t="n"/>
      <c r="H270" s="14" t="n"/>
      <c r="I270" s="10">
        <f>IF(OR(F270="",G270=""),"",ROUND(F270*(1+G270/30),1))</f>
        <v/>
      </c>
      <c r="J270" s="11" t="n"/>
    </row>
    <row r="271">
      <c r="A271" s="13" t="n"/>
      <c r="B271" s="10">
        <f>IF(A271="","",A271-'Daily Check-In'!$B$4+1)</f>
        <v/>
      </c>
      <c r="C271" s="11" t="n"/>
      <c r="D271" s="11" t="n"/>
      <c r="E271" s="11" t="n"/>
      <c r="F271" s="14" t="n"/>
      <c r="G271" s="14" t="n"/>
      <c r="H271" s="14" t="n"/>
      <c r="I271" s="10">
        <f>IF(OR(F271="",G271=""),"",ROUND(F271*(1+G271/30),1))</f>
        <v/>
      </c>
      <c r="J271" s="11" t="n"/>
    </row>
    <row r="272">
      <c r="A272" s="13" t="n"/>
      <c r="B272" s="10">
        <f>IF(A272="","",A272-'Daily Check-In'!$B$4+1)</f>
        <v/>
      </c>
      <c r="C272" s="11" t="n"/>
      <c r="D272" s="11" t="n"/>
      <c r="E272" s="11" t="n"/>
      <c r="F272" s="14" t="n"/>
      <c r="G272" s="14" t="n"/>
      <c r="H272" s="14" t="n"/>
      <c r="I272" s="10">
        <f>IF(OR(F272="",G272=""),"",ROUND(F272*(1+G272/30),1))</f>
        <v/>
      </c>
      <c r="J272" s="11" t="n"/>
    </row>
    <row r="273">
      <c r="A273" s="13" t="n"/>
      <c r="B273" s="10">
        <f>IF(A273="","",A273-'Daily Check-In'!$B$4+1)</f>
        <v/>
      </c>
      <c r="C273" s="11" t="n"/>
      <c r="D273" s="11" t="n"/>
      <c r="E273" s="11" t="n"/>
      <c r="F273" s="14" t="n"/>
      <c r="G273" s="14" t="n"/>
      <c r="H273" s="14" t="n"/>
      <c r="I273" s="10">
        <f>IF(OR(F273="",G273=""),"",ROUND(F273*(1+G273/30),1))</f>
        <v/>
      </c>
      <c r="J273" s="11" t="n"/>
    </row>
    <row r="274">
      <c r="A274" s="13" t="n"/>
      <c r="B274" s="10">
        <f>IF(A274="","",A274-'Daily Check-In'!$B$4+1)</f>
        <v/>
      </c>
      <c r="C274" s="11" t="n"/>
      <c r="D274" s="11" t="n"/>
      <c r="E274" s="11" t="n"/>
      <c r="F274" s="14" t="n"/>
      <c r="G274" s="14" t="n"/>
      <c r="H274" s="14" t="n"/>
      <c r="I274" s="10">
        <f>IF(OR(F274="",G274=""),"",ROUND(F274*(1+G274/30),1))</f>
        <v/>
      </c>
      <c r="J274" s="11" t="n"/>
    </row>
    <row r="275">
      <c r="A275" s="13" t="n"/>
      <c r="B275" s="10">
        <f>IF(A275="","",A275-'Daily Check-In'!$B$4+1)</f>
        <v/>
      </c>
      <c r="C275" s="11" t="n"/>
      <c r="D275" s="11" t="n"/>
      <c r="E275" s="11" t="n"/>
      <c r="F275" s="14" t="n"/>
      <c r="G275" s="14" t="n"/>
      <c r="H275" s="14" t="n"/>
      <c r="I275" s="10">
        <f>IF(OR(F275="",G275=""),"",ROUND(F275*(1+G275/30),1))</f>
        <v/>
      </c>
      <c r="J275" s="11" t="n"/>
    </row>
    <row r="276">
      <c r="A276" s="13" t="n"/>
      <c r="B276" s="10">
        <f>IF(A276="","",A276-'Daily Check-In'!$B$4+1)</f>
        <v/>
      </c>
      <c r="C276" s="11" t="n"/>
      <c r="D276" s="11" t="n"/>
      <c r="E276" s="11" t="n"/>
      <c r="F276" s="14" t="n"/>
      <c r="G276" s="14" t="n"/>
      <c r="H276" s="14" t="n"/>
      <c r="I276" s="10">
        <f>IF(OR(F276="",G276=""),"",ROUND(F276*(1+G276/30),1))</f>
        <v/>
      </c>
      <c r="J276" s="11" t="n"/>
    </row>
    <row r="277">
      <c r="A277" s="13" t="n"/>
      <c r="B277" s="10">
        <f>IF(A277="","",A277-'Daily Check-In'!$B$4+1)</f>
        <v/>
      </c>
      <c r="C277" s="11" t="n"/>
      <c r="D277" s="11" t="n"/>
      <c r="E277" s="11" t="n"/>
      <c r="F277" s="14" t="n"/>
      <c r="G277" s="14" t="n"/>
      <c r="H277" s="14" t="n"/>
      <c r="I277" s="10">
        <f>IF(OR(F277="",G277=""),"",ROUND(F277*(1+G277/30),1))</f>
        <v/>
      </c>
      <c r="J277" s="11" t="n"/>
    </row>
    <row r="278">
      <c r="A278" s="13" t="n"/>
      <c r="B278" s="10">
        <f>IF(A278="","",A278-'Daily Check-In'!$B$4+1)</f>
        <v/>
      </c>
      <c r="C278" s="11" t="n"/>
      <c r="D278" s="11" t="n"/>
      <c r="E278" s="11" t="n"/>
      <c r="F278" s="14" t="n"/>
      <c r="G278" s="14" t="n"/>
      <c r="H278" s="14" t="n"/>
      <c r="I278" s="10">
        <f>IF(OR(F278="",G278=""),"",ROUND(F278*(1+G278/30),1))</f>
        <v/>
      </c>
      <c r="J278" s="11" t="n"/>
    </row>
    <row r="279">
      <c r="A279" s="13" t="n"/>
      <c r="B279" s="10">
        <f>IF(A279="","",A279-'Daily Check-In'!$B$4+1)</f>
        <v/>
      </c>
      <c r="C279" s="11" t="n"/>
      <c r="D279" s="11" t="n"/>
      <c r="E279" s="11" t="n"/>
      <c r="F279" s="14" t="n"/>
      <c r="G279" s="14" t="n"/>
      <c r="H279" s="14" t="n"/>
      <c r="I279" s="10">
        <f>IF(OR(F279="",G279=""),"",ROUND(F279*(1+G279/30),1))</f>
        <v/>
      </c>
      <c r="J279" s="11" t="n"/>
    </row>
    <row r="280">
      <c r="A280" s="13" t="n"/>
      <c r="B280" s="10">
        <f>IF(A280="","",A280-'Daily Check-In'!$B$4+1)</f>
        <v/>
      </c>
      <c r="C280" s="11" t="n"/>
      <c r="D280" s="11" t="n"/>
      <c r="E280" s="11" t="n"/>
      <c r="F280" s="14" t="n"/>
      <c r="G280" s="14" t="n"/>
      <c r="H280" s="14" t="n"/>
      <c r="I280" s="10">
        <f>IF(OR(F280="",G280=""),"",ROUND(F280*(1+G280/30),1))</f>
        <v/>
      </c>
      <c r="J280" s="11" t="n"/>
    </row>
    <row r="281">
      <c r="A281" s="13" t="n"/>
      <c r="B281" s="10">
        <f>IF(A281="","",A281-'Daily Check-In'!$B$4+1)</f>
        <v/>
      </c>
      <c r="C281" s="11" t="n"/>
      <c r="D281" s="11" t="n"/>
      <c r="E281" s="11" t="n"/>
      <c r="F281" s="14" t="n"/>
      <c r="G281" s="14" t="n"/>
      <c r="H281" s="14" t="n"/>
      <c r="I281" s="10">
        <f>IF(OR(F281="",G281=""),"",ROUND(F281*(1+G281/30),1))</f>
        <v/>
      </c>
      <c r="J281" s="11" t="n"/>
    </row>
    <row r="282">
      <c r="A282" s="13" t="n"/>
      <c r="B282" s="10">
        <f>IF(A282="","",A282-'Daily Check-In'!$B$4+1)</f>
        <v/>
      </c>
      <c r="C282" s="11" t="n"/>
      <c r="D282" s="11" t="n"/>
      <c r="E282" s="11" t="n"/>
      <c r="F282" s="14" t="n"/>
      <c r="G282" s="14" t="n"/>
      <c r="H282" s="14" t="n"/>
      <c r="I282" s="10">
        <f>IF(OR(F282="",G282=""),"",ROUND(F282*(1+G282/30),1))</f>
        <v/>
      </c>
      <c r="J282" s="11" t="n"/>
    </row>
    <row r="283">
      <c r="A283" s="13" t="n"/>
      <c r="B283" s="10">
        <f>IF(A283="","",A283-'Daily Check-In'!$B$4+1)</f>
        <v/>
      </c>
      <c r="C283" s="11" t="n"/>
      <c r="D283" s="11" t="n"/>
      <c r="E283" s="11" t="n"/>
      <c r="F283" s="14" t="n"/>
      <c r="G283" s="14" t="n"/>
      <c r="H283" s="14" t="n"/>
      <c r="I283" s="10">
        <f>IF(OR(F283="",G283=""),"",ROUND(F283*(1+G283/30),1))</f>
        <v/>
      </c>
      <c r="J283" s="11" t="n"/>
    </row>
    <row r="284">
      <c r="A284" s="13" t="n"/>
      <c r="B284" s="10">
        <f>IF(A284="","",A284-'Daily Check-In'!$B$4+1)</f>
        <v/>
      </c>
      <c r="C284" s="11" t="n"/>
      <c r="D284" s="11" t="n"/>
      <c r="E284" s="11" t="n"/>
      <c r="F284" s="14" t="n"/>
      <c r="G284" s="14" t="n"/>
      <c r="H284" s="14" t="n"/>
      <c r="I284" s="10">
        <f>IF(OR(F284="",G284=""),"",ROUND(F284*(1+G284/30),1))</f>
        <v/>
      </c>
      <c r="J284" s="11" t="n"/>
    </row>
    <row r="285">
      <c r="A285" s="13" t="n"/>
      <c r="B285" s="10">
        <f>IF(A285="","",A285-'Daily Check-In'!$B$4+1)</f>
        <v/>
      </c>
      <c r="C285" s="11" t="n"/>
      <c r="D285" s="11" t="n"/>
      <c r="E285" s="11" t="n"/>
      <c r="F285" s="14" t="n"/>
      <c r="G285" s="14" t="n"/>
      <c r="H285" s="14" t="n"/>
      <c r="I285" s="10">
        <f>IF(OR(F285="",G285=""),"",ROUND(F285*(1+G285/30),1))</f>
        <v/>
      </c>
      <c r="J285" s="11" t="n"/>
    </row>
    <row r="286">
      <c r="A286" s="13" t="n"/>
      <c r="B286" s="10">
        <f>IF(A286="","",A286-'Daily Check-In'!$B$4+1)</f>
        <v/>
      </c>
      <c r="C286" s="11" t="n"/>
      <c r="D286" s="11" t="n"/>
      <c r="E286" s="11" t="n"/>
      <c r="F286" s="14" t="n"/>
      <c r="G286" s="14" t="n"/>
      <c r="H286" s="14" t="n"/>
      <c r="I286" s="10">
        <f>IF(OR(F286="",G286=""),"",ROUND(F286*(1+G286/30),1))</f>
        <v/>
      </c>
      <c r="J286" s="11" t="n"/>
    </row>
    <row r="287">
      <c r="A287" s="13" t="n"/>
      <c r="B287" s="10">
        <f>IF(A287="","",A287-'Daily Check-In'!$B$4+1)</f>
        <v/>
      </c>
      <c r="C287" s="11" t="n"/>
      <c r="D287" s="11" t="n"/>
      <c r="E287" s="11" t="n"/>
      <c r="F287" s="14" t="n"/>
      <c r="G287" s="14" t="n"/>
      <c r="H287" s="14" t="n"/>
      <c r="I287" s="10">
        <f>IF(OR(F287="",G287=""),"",ROUND(F287*(1+G287/30),1))</f>
        <v/>
      </c>
      <c r="J287" s="11" t="n"/>
    </row>
    <row r="288">
      <c r="A288" s="13" t="n"/>
      <c r="B288" s="10">
        <f>IF(A288="","",A288-'Daily Check-In'!$B$4+1)</f>
        <v/>
      </c>
      <c r="C288" s="11" t="n"/>
      <c r="D288" s="11" t="n"/>
      <c r="E288" s="11" t="n"/>
      <c r="F288" s="14" t="n"/>
      <c r="G288" s="14" t="n"/>
      <c r="H288" s="14" t="n"/>
      <c r="I288" s="10">
        <f>IF(OR(F288="",G288=""),"",ROUND(F288*(1+G288/30),1))</f>
        <v/>
      </c>
      <c r="J288" s="11" t="n"/>
    </row>
    <row r="289">
      <c r="A289" s="13" t="n"/>
      <c r="B289" s="10">
        <f>IF(A289="","",A289-'Daily Check-In'!$B$4+1)</f>
        <v/>
      </c>
      <c r="C289" s="11" t="n"/>
      <c r="D289" s="11" t="n"/>
      <c r="E289" s="11" t="n"/>
      <c r="F289" s="14" t="n"/>
      <c r="G289" s="14" t="n"/>
      <c r="H289" s="14" t="n"/>
      <c r="I289" s="10">
        <f>IF(OR(F289="",G289=""),"",ROUND(F289*(1+G289/30),1))</f>
        <v/>
      </c>
      <c r="J289" s="11" t="n"/>
    </row>
    <row r="290">
      <c r="A290" s="13" t="n"/>
      <c r="B290" s="10">
        <f>IF(A290="","",A290-'Daily Check-In'!$B$4+1)</f>
        <v/>
      </c>
      <c r="C290" s="11" t="n"/>
      <c r="D290" s="11" t="n"/>
      <c r="E290" s="11" t="n"/>
      <c r="F290" s="14" t="n"/>
      <c r="G290" s="14" t="n"/>
      <c r="H290" s="14" t="n"/>
      <c r="I290" s="10">
        <f>IF(OR(F290="",G290=""),"",ROUND(F290*(1+G290/30),1))</f>
        <v/>
      </c>
      <c r="J290" s="11" t="n"/>
    </row>
    <row r="291">
      <c r="A291" s="13" t="n"/>
      <c r="B291" s="10">
        <f>IF(A291="","",A291-'Daily Check-In'!$B$4+1)</f>
        <v/>
      </c>
      <c r="C291" s="11" t="n"/>
      <c r="D291" s="11" t="n"/>
      <c r="E291" s="11" t="n"/>
      <c r="F291" s="14" t="n"/>
      <c r="G291" s="14" t="n"/>
      <c r="H291" s="14" t="n"/>
      <c r="I291" s="10">
        <f>IF(OR(F291="",G291=""),"",ROUND(F291*(1+G291/30),1))</f>
        <v/>
      </c>
      <c r="J291" s="11" t="n"/>
    </row>
    <row r="292">
      <c r="A292" s="13" t="n"/>
      <c r="B292" s="10">
        <f>IF(A292="","",A292-'Daily Check-In'!$B$4+1)</f>
        <v/>
      </c>
      <c r="C292" s="11" t="n"/>
      <c r="D292" s="11" t="n"/>
      <c r="E292" s="11" t="n"/>
      <c r="F292" s="14" t="n"/>
      <c r="G292" s="14" t="n"/>
      <c r="H292" s="14" t="n"/>
      <c r="I292" s="10">
        <f>IF(OR(F292="",G292=""),"",ROUND(F292*(1+G292/30),1))</f>
        <v/>
      </c>
      <c r="J292" s="11" t="n"/>
    </row>
    <row r="293">
      <c r="A293" s="13" t="n"/>
      <c r="B293" s="10">
        <f>IF(A293="","",A293-'Daily Check-In'!$B$4+1)</f>
        <v/>
      </c>
      <c r="C293" s="11" t="n"/>
      <c r="D293" s="11" t="n"/>
      <c r="E293" s="11" t="n"/>
      <c r="F293" s="14" t="n"/>
      <c r="G293" s="14" t="n"/>
      <c r="H293" s="14" t="n"/>
      <c r="I293" s="10">
        <f>IF(OR(F293="",G293=""),"",ROUND(F293*(1+G293/30),1))</f>
        <v/>
      </c>
      <c r="J293" s="11" t="n"/>
    </row>
    <row r="294">
      <c r="A294" s="13" t="n"/>
      <c r="B294" s="10">
        <f>IF(A294="","",A294-'Daily Check-In'!$B$4+1)</f>
        <v/>
      </c>
      <c r="C294" s="11" t="n"/>
      <c r="D294" s="11" t="n"/>
      <c r="E294" s="11" t="n"/>
      <c r="F294" s="14" t="n"/>
      <c r="G294" s="14" t="n"/>
      <c r="H294" s="14" t="n"/>
      <c r="I294" s="10">
        <f>IF(OR(F294="",G294=""),"",ROUND(F294*(1+G294/30),1))</f>
        <v/>
      </c>
      <c r="J294" s="11" t="n"/>
    </row>
    <row r="295">
      <c r="A295" s="13" t="n"/>
      <c r="B295" s="10">
        <f>IF(A295="","",A295-'Daily Check-In'!$B$4+1)</f>
        <v/>
      </c>
      <c r="C295" s="11" t="n"/>
      <c r="D295" s="11" t="n"/>
      <c r="E295" s="11" t="n"/>
      <c r="F295" s="14" t="n"/>
      <c r="G295" s="14" t="n"/>
      <c r="H295" s="14" t="n"/>
      <c r="I295" s="10">
        <f>IF(OR(F295="",G295=""),"",ROUND(F295*(1+G295/30),1))</f>
        <v/>
      </c>
      <c r="J295" s="11" t="n"/>
    </row>
    <row r="296">
      <c r="A296" s="13" t="n"/>
      <c r="B296" s="10">
        <f>IF(A296="","",A296-'Daily Check-In'!$B$4+1)</f>
        <v/>
      </c>
      <c r="C296" s="11" t="n"/>
      <c r="D296" s="11" t="n"/>
      <c r="E296" s="11" t="n"/>
      <c r="F296" s="14" t="n"/>
      <c r="G296" s="14" t="n"/>
      <c r="H296" s="14" t="n"/>
      <c r="I296" s="10">
        <f>IF(OR(F296="",G296=""),"",ROUND(F296*(1+G296/30),1))</f>
        <v/>
      </c>
      <c r="J296" s="11" t="n"/>
    </row>
    <row r="297">
      <c r="A297" s="13" t="n"/>
      <c r="B297" s="10">
        <f>IF(A297="","",A297-'Daily Check-In'!$B$4+1)</f>
        <v/>
      </c>
      <c r="C297" s="11" t="n"/>
      <c r="D297" s="11" t="n"/>
      <c r="E297" s="11" t="n"/>
      <c r="F297" s="14" t="n"/>
      <c r="G297" s="14" t="n"/>
      <c r="H297" s="14" t="n"/>
      <c r="I297" s="10">
        <f>IF(OR(F297="",G297=""),"",ROUND(F297*(1+G297/30),1))</f>
        <v/>
      </c>
      <c r="J297" s="11" t="n"/>
    </row>
    <row r="298">
      <c r="A298" s="13" t="n"/>
      <c r="B298" s="10">
        <f>IF(A298="","",A298-'Daily Check-In'!$B$4+1)</f>
        <v/>
      </c>
      <c r="C298" s="11" t="n"/>
      <c r="D298" s="11" t="n"/>
      <c r="E298" s="11" t="n"/>
      <c r="F298" s="14" t="n"/>
      <c r="G298" s="14" t="n"/>
      <c r="H298" s="14" t="n"/>
      <c r="I298" s="10">
        <f>IF(OR(F298="",G298=""),"",ROUND(F298*(1+G298/30),1))</f>
        <v/>
      </c>
      <c r="J298" s="11" t="n"/>
    </row>
    <row r="299">
      <c r="A299" s="13" t="n"/>
      <c r="B299" s="10">
        <f>IF(A299="","",A299-'Daily Check-In'!$B$4+1)</f>
        <v/>
      </c>
      <c r="C299" s="11" t="n"/>
      <c r="D299" s="11" t="n"/>
      <c r="E299" s="11" t="n"/>
      <c r="F299" s="14" t="n"/>
      <c r="G299" s="14" t="n"/>
      <c r="H299" s="14" t="n"/>
      <c r="I299" s="10">
        <f>IF(OR(F299="",G299=""),"",ROUND(F299*(1+G299/30),1))</f>
        <v/>
      </c>
      <c r="J299" s="11" t="n"/>
    </row>
    <row r="300">
      <c r="A300" s="13" t="n"/>
      <c r="B300" s="10">
        <f>IF(A300="","",A300-'Daily Check-In'!$B$4+1)</f>
        <v/>
      </c>
      <c r="C300" s="11" t="n"/>
      <c r="D300" s="11" t="n"/>
      <c r="E300" s="11" t="n"/>
      <c r="F300" s="14" t="n"/>
      <c r="G300" s="14" t="n"/>
      <c r="H300" s="14" t="n"/>
      <c r="I300" s="10">
        <f>IF(OR(F300="",G300=""),"",ROUND(F300*(1+G300/30),1))</f>
        <v/>
      </c>
      <c r="J300" s="11" t="n"/>
    </row>
    <row r="301">
      <c r="A301" s="13" t="n"/>
      <c r="B301" s="10">
        <f>IF(A301="","",A301-'Daily Check-In'!$B$4+1)</f>
        <v/>
      </c>
      <c r="C301" s="11" t="n"/>
      <c r="D301" s="11" t="n"/>
      <c r="E301" s="11" t="n"/>
      <c r="F301" s="14" t="n"/>
      <c r="G301" s="14" t="n"/>
      <c r="H301" s="14" t="n"/>
      <c r="I301" s="10">
        <f>IF(OR(F301="",G301=""),"",ROUND(F301*(1+G301/30),1))</f>
        <v/>
      </c>
      <c r="J301" s="11" t="n"/>
    </row>
    <row r="302">
      <c r="A302" s="13" t="n"/>
      <c r="B302" s="10">
        <f>IF(A302="","",A302-'Daily Check-In'!$B$4+1)</f>
        <v/>
      </c>
      <c r="C302" s="11" t="n"/>
      <c r="D302" s="11" t="n"/>
      <c r="E302" s="11" t="n"/>
      <c r="F302" s="14" t="n"/>
      <c r="G302" s="14" t="n"/>
      <c r="H302" s="14" t="n"/>
      <c r="I302" s="10">
        <f>IF(OR(F302="",G302=""),"",ROUND(F302*(1+G302/30),1))</f>
        <v/>
      </c>
      <c r="J302" s="11" t="n"/>
    </row>
    <row r="303">
      <c r="A303" s="13" t="n"/>
      <c r="B303" s="10">
        <f>IF(A303="","",A303-'Daily Check-In'!$B$4+1)</f>
        <v/>
      </c>
      <c r="C303" s="11" t="n"/>
      <c r="D303" s="11" t="n"/>
      <c r="E303" s="11" t="n"/>
      <c r="F303" s="14" t="n"/>
      <c r="G303" s="14" t="n"/>
      <c r="H303" s="14" t="n"/>
      <c r="I303" s="10">
        <f>IF(OR(F303="",G303=""),"",ROUND(F303*(1+G303/30),1))</f>
        <v/>
      </c>
      <c r="J303" s="11" t="n"/>
    </row>
    <row r="304">
      <c r="A304" s="13" t="n"/>
      <c r="B304" s="10">
        <f>IF(A304="","",A304-'Daily Check-In'!$B$4+1)</f>
        <v/>
      </c>
      <c r="C304" s="11" t="n"/>
      <c r="D304" s="11" t="n"/>
      <c r="E304" s="11" t="n"/>
      <c r="F304" s="14" t="n"/>
      <c r="G304" s="14" t="n"/>
      <c r="H304" s="14" t="n"/>
      <c r="I304" s="10">
        <f>IF(OR(F304="",G304=""),"",ROUND(F304*(1+G304/30),1))</f>
        <v/>
      </c>
      <c r="J304" s="11" t="n"/>
    </row>
    <row r="305">
      <c r="A305" s="13" t="n"/>
      <c r="B305" s="10">
        <f>IF(A305="","",A305-'Daily Check-In'!$B$4+1)</f>
        <v/>
      </c>
      <c r="C305" s="11" t="n"/>
      <c r="D305" s="11" t="n"/>
      <c r="E305" s="11" t="n"/>
      <c r="F305" s="14" t="n"/>
      <c r="G305" s="14" t="n"/>
      <c r="H305" s="14" t="n"/>
      <c r="I305" s="10">
        <f>IF(OR(F305="",G305=""),"",ROUND(F305*(1+G305/30),1))</f>
        <v/>
      </c>
      <c r="J305" s="11" t="n"/>
    </row>
    <row r="306">
      <c r="A306" s="13" t="n"/>
      <c r="B306" s="10">
        <f>IF(A306="","",A306-'Daily Check-In'!$B$4+1)</f>
        <v/>
      </c>
      <c r="C306" s="11" t="n"/>
      <c r="D306" s="11" t="n"/>
      <c r="E306" s="11" t="n"/>
      <c r="F306" s="14" t="n"/>
      <c r="G306" s="14" t="n"/>
      <c r="H306" s="14" t="n"/>
      <c r="I306" s="10">
        <f>IF(OR(F306="",G306=""),"",ROUND(F306*(1+G306/30),1))</f>
        <v/>
      </c>
      <c r="J306" s="11" t="n"/>
    </row>
    <row r="307">
      <c r="A307" s="13" t="n"/>
      <c r="B307" s="10">
        <f>IF(A307="","",A307-'Daily Check-In'!$B$4+1)</f>
        <v/>
      </c>
      <c r="C307" s="11" t="n"/>
      <c r="D307" s="11" t="n"/>
      <c r="E307" s="11" t="n"/>
      <c r="F307" s="14" t="n"/>
      <c r="G307" s="14" t="n"/>
      <c r="H307" s="14" t="n"/>
      <c r="I307" s="10">
        <f>IF(OR(F307="",G307=""),"",ROUND(F307*(1+G307/30),1))</f>
        <v/>
      </c>
      <c r="J307" s="11" t="n"/>
    </row>
    <row r="308">
      <c r="A308" s="13" t="n"/>
      <c r="B308" s="10">
        <f>IF(A308="","",A308-'Daily Check-In'!$B$4+1)</f>
        <v/>
      </c>
      <c r="C308" s="11" t="n"/>
      <c r="D308" s="11" t="n"/>
      <c r="E308" s="11" t="n"/>
      <c r="F308" s="14" t="n"/>
      <c r="G308" s="14" t="n"/>
      <c r="H308" s="14" t="n"/>
      <c r="I308" s="10">
        <f>IF(OR(F308="",G308=""),"",ROUND(F308*(1+G308/30),1))</f>
        <v/>
      </c>
      <c r="J308" s="11" t="n"/>
    </row>
    <row r="309">
      <c r="A309" s="13" t="n"/>
      <c r="B309" s="10">
        <f>IF(A309="","",A309-'Daily Check-In'!$B$4+1)</f>
        <v/>
      </c>
      <c r="C309" s="11" t="n"/>
      <c r="D309" s="11" t="n"/>
      <c r="E309" s="11" t="n"/>
      <c r="F309" s="14" t="n"/>
      <c r="G309" s="14" t="n"/>
      <c r="H309" s="14" t="n"/>
      <c r="I309" s="10">
        <f>IF(OR(F309="",G309=""),"",ROUND(F309*(1+G309/30),1))</f>
        <v/>
      </c>
      <c r="J309" s="11" t="n"/>
    </row>
    <row r="310">
      <c r="A310" s="13" t="n"/>
      <c r="B310" s="10">
        <f>IF(A310="","",A310-'Daily Check-In'!$B$4+1)</f>
        <v/>
      </c>
      <c r="C310" s="11" t="n"/>
      <c r="D310" s="11" t="n"/>
      <c r="E310" s="11" t="n"/>
      <c r="F310" s="14" t="n"/>
      <c r="G310" s="14" t="n"/>
      <c r="H310" s="14" t="n"/>
      <c r="I310" s="10">
        <f>IF(OR(F310="",G310=""),"",ROUND(F310*(1+G310/30),1))</f>
        <v/>
      </c>
      <c r="J310" s="11" t="n"/>
    </row>
    <row r="311">
      <c r="A311" s="13" t="n"/>
      <c r="B311" s="10">
        <f>IF(A311="","",A311-'Daily Check-In'!$B$4+1)</f>
        <v/>
      </c>
      <c r="C311" s="11" t="n"/>
      <c r="D311" s="11" t="n"/>
      <c r="E311" s="11" t="n"/>
      <c r="F311" s="14" t="n"/>
      <c r="G311" s="14" t="n"/>
      <c r="H311" s="14" t="n"/>
      <c r="I311" s="10">
        <f>IF(OR(F311="",G311=""),"",ROUND(F311*(1+G311/30),1))</f>
        <v/>
      </c>
      <c r="J311" s="11" t="n"/>
    </row>
    <row r="312">
      <c r="A312" s="13" t="n"/>
      <c r="B312" s="10">
        <f>IF(A312="","",A312-'Daily Check-In'!$B$4+1)</f>
        <v/>
      </c>
      <c r="C312" s="11" t="n"/>
      <c r="D312" s="11" t="n"/>
      <c r="E312" s="11" t="n"/>
      <c r="F312" s="14" t="n"/>
      <c r="G312" s="14" t="n"/>
      <c r="H312" s="14" t="n"/>
      <c r="I312" s="10">
        <f>IF(OR(F312="",G312=""),"",ROUND(F312*(1+G312/30),1))</f>
        <v/>
      </c>
      <c r="J312" s="11" t="n"/>
    </row>
    <row r="313">
      <c r="A313" s="13" t="n"/>
      <c r="B313" s="10">
        <f>IF(A313="","",A313-'Daily Check-In'!$B$4+1)</f>
        <v/>
      </c>
      <c r="C313" s="11" t="n"/>
      <c r="D313" s="11" t="n"/>
      <c r="E313" s="11" t="n"/>
      <c r="F313" s="14" t="n"/>
      <c r="G313" s="14" t="n"/>
      <c r="H313" s="14" t="n"/>
      <c r="I313" s="10">
        <f>IF(OR(F313="",G313=""),"",ROUND(F313*(1+G313/30),1))</f>
        <v/>
      </c>
      <c r="J313" s="11" t="n"/>
    </row>
    <row r="314">
      <c r="A314" s="13" t="n"/>
      <c r="B314" s="10">
        <f>IF(A314="","",A314-'Daily Check-In'!$B$4+1)</f>
        <v/>
      </c>
      <c r="C314" s="11" t="n"/>
      <c r="D314" s="11" t="n"/>
      <c r="E314" s="11" t="n"/>
      <c r="F314" s="14" t="n"/>
      <c r="G314" s="14" t="n"/>
      <c r="H314" s="14" t="n"/>
      <c r="I314" s="10">
        <f>IF(OR(F314="",G314=""),"",ROUND(F314*(1+G314/30),1))</f>
        <v/>
      </c>
      <c r="J314" s="11" t="n"/>
    </row>
    <row r="315">
      <c r="A315" s="13" t="n"/>
      <c r="B315" s="10">
        <f>IF(A315="","",A315-'Daily Check-In'!$B$4+1)</f>
        <v/>
      </c>
      <c r="C315" s="11" t="n"/>
      <c r="D315" s="11" t="n"/>
      <c r="E315" s="11" t="n"/>
      <c r="F315" s="14" t="n"/>
      <c r="G315" s="14" t="n"/>
      <c r="H315" s="14" t="n"/>
      <c r="I315" s="10">
        <f>IF(OR(F315="",G315=""),"",ROUND(F315*(1+G315/30),1))</f>
        <v/>
      </c>
      <c r="J315" s="11" t="n"/>
    </row>
    <row r="316">
      <c r="A316" s="13" t="n"/>
      <c r="B316" s="10">
        <f>IF(A316="","",A316-'Daily Check-In'!$B$4+1)</f>
        <v/>
      </c>
      <c r="C316" s="11" t="n"/>
      <c r="D316" s="11" t="n"/>
      <c r="E316" s="11" t="n"/>
      <c r="F316" s="14" t="n"/>
      <c r="G316" s="14" t="n"/>
      <c r="H316" s="14" t="n"/>
      <c r="I316" s="10">
        <f>IF(OR(F316="",G316=""),"",ROUND(F316*(1+G316/30),1))</f>
        <v/>
      </c>
      <c r="J316" s="11" t="n"/>
    </row>
    <row r="317">
      <c r="A317" s="13" t="n"/>
      <c r="B317" s="10">
        <f>IF(A317="","",A317-'Daily Check-In'!$B$4+1)</f>
        <v/>
      </c>
      <c r="C317" s="11" t="n"/>
      <c r="D317" s="11" t="n"/>
      <c r="E317" s="11" t="n"/>
      <c r="F317" s="14" t="n"/>
      <c r="G317" s="14" t="n"/>
      <c r="H317" s="14" t="n"/>
      <c r="I317" s="10">
        <f>IF(OR(F317="",G317=""),"",ROUND(F317*(1+G317/30),1))</f>
        <v/>
      </c>
      <c r="J317" s="11" t="n"/>
    </row>
    <row r="318">
      <c r="A318" s="13" t="n"/>
      <c r="B318" s="10">
        <f>IF(A318="","",A318-'Daily Check-In'!$B$4+1)</f>
        <v/>
      </c>
      <c r="C318" s="11" t="n"/>
      <c r="D318" s="11" t="n"/>
      <c r="E318" s="11" t="n"/>
      <c r="F318" s="14" t="n"/>
      <c r="G318" s="14" t="n"/>
      <c r="H318" s="14" t="n"/>
      <c r="I318" s="10">
        <f>IF(OR(F318="",G318=""),"",ROUND(F318*(1+G318/30),1))</f>
        <v/>
      </c>
      <c r="J318" s="11" t="n"/>
    </row>
    <row r="319">
      <c r="A319" s="13" t="n"/>
      <c r="B319" s="10">
        <f>IF(A319="","",A319-'Daily Check-In'!$B$4+1)</f>
        <v/>
      </c>
      <c r="C319" s="11" t="n"/>
      <c r="D319" s="11" t="n"/>
      <c r="E319" s="11" t="n"/>
      <c r="F319" s="14" t="n"/>
      <c r="G319" s="14" t="n"/>
      <c r="H319" s="14" t="n"/>
      <c r="I319" s="10">
        <f>IF(OR(F319="",G319=""),"",ROUND(F319*(1+G319/30),1))</f>
        <v/>
      </c>
      <c r="J319" s="11" t="n"/>
    </row>
    <row r="320">
      <c r="A320" s="13" t="n"/>
      <c r="B320" s="10">
        <f>IF(A320="","",A320-'Daily Check-In'!$B$4+1)</f>
        <v/>
      </c>
      <c r="C320" s="11" t="n"/>
      <c r="D320" s="11" t="n"/>
      <c r="E320" s="11" t="n"/>
      <c r="F320" s="14" t="n"/>
      <c r="G320" s="14" t="n"/>
      <c r="H320" s="14" t="n"/>
      <c r="I320" s="10">
        <f>IF(OR(F320="",G320=""),"",ROUND(F320*(1+G320/30),1))</f>
        <v/>
      </c>
      <c r="J320" s="11" t="n"/>
    </row>
    <row r="321">
      <c r="A321" s="13" t="n"/>
      <c r="B321" s="10">
        <f>IF(A321="","",A321-'Daily Check-In'!$B$4+1)</f>
        <v/>
      </c>
      <c r="C321" s="11" t="n"/>
      <c r="D321" s="11" t="n"/>
      <c r="E321" s="11" t="n"/>
      <c r="F321" s="14" t="n"/>
      <c r="G321" s="14" t="n"/>
      <c r="H321" s="14" t="n"/>
      <c r="I321" s="10">
        <f>IF(OR(F321="",G321=""),"",ROUND(F321*(1+G321/30),1))</f>
        <v/>
      </c>
      <c r="J321" s="11" t="n"/>
    </row>
    <row r="322">
      <c r="A322" s="13" t="n"/>
      <c r="B322" s="10">
        <f>IF(A322="","",A322-'Daily Check-In'!$B$4+1)</f>
        <v/>
      </c>
      <c r="C322" s="11" t="n"/>
      <c r="D322" s="11" t="n"/>
      <c r="E322" s="11" t="n"/>
      <c r="F322" s="14" t="n"/>
      <c r="G322" s="14" t="n"/>
      <c r="H322" s="14" t="n"/>
      <c r="I322" s="10">
        <f>IF(OR(F322="",G322=""),"",ROUND(F322*(1+G322/30),1))</f>
        <v/>
      </c>
      <c r="J322" s="11" t="n"/>
    </row>
    <row r="323">
      <c r="A323" s="13" t="n"/>
      <c r="B323" s="10">
        <f>IF(A323="","",A323-'Daily Check-In'!$B$4+1)</f>
        <v/>
      </c>
      <c r="C323" s="11" t="n"/>
      <c r="D323" s="11" t="n"/>
      <c r="E323" s="11" t="n"/>
      <c r="F323" s="14" t="n"/>
      <c r="G323" s="14" t="n"/>
      <c r="H323" s="14" t="n"/>
      <c r="I323" s="10">
        <f>IF(OR(F323="",G323=""),"",ROUND(F323*(1+G323/30),1))</f>
        <v/>
      </c>
      <c r="J323" s="11" t="n"/>
    </row>
    <row r="324">
      <c r="A324" s="13" t="n"/>
      <c r="B324" s="10">
        <f>IF(A324="","",A324-'Daily Check-In'!$B$4+1)</f>
        <v/>
      </c>
      <c r="C324" s="11" t="n"/>
      <c r="D324" s="11" t="n"/>
      <c r="E324" s="11" t="n"/>
      <c r="F324" s="14" t="n"/>
      <c r="G324" s="14" t="n"/>
      <c r="H324" s="14" t="n"/>
      <c r="I324" s="10">
        <f>IF(OR(F324="",G324=""),"",ROUND(F324*(1+G324/30),1))</f>
        <v/>
      </c>
      <c r="J324" s="11" t="n"/>
    </row>
    <row r="325">
      <c r="A325" s="13" t="n"/>
      <c r="B325" s="10">
        <f>IF(A325="","",A325-'Daily Check-In'!$B$4+1)</f>
        <v/>
      </c>
      <c r="C325" s="11" t="n"/>
      <c r="D325" s="11" t="n"/>
      <c r="E325" s="11" t="n"/>
      <c r="F325" s="14" t="n"/>
      <c r="G325" s="14" t="n"/>
      <c r="H325" s="14" t="n"/>
      <c r="I325" s="10">
        <f>IF(OR(F325="",G325=""),"",ROUND(F325*(1+G325/30),1))</f>
        <v/>
      </c>
      <c r="J325" s="11" t="n"/>
    </row>
    <row r="326">
      <c r="A326" s="13" t="n"/>
      <c r="B326" s="10">
        <f>IF(A326="","",A326-'Daily Check-In'!$B$4+1)</f>
        <v/>
      </c>
      <c r="C326" s="11" t="n"/>
      <c r="D326" s="11" t="n"/>
      <c r="E326" s="11" t="n"/>
      <c r="F326" s="14" t="n"/>
      <c r="G326" s="14" t="n"/>
      <c r="H326" s="14" t="n"/>
      <c r="I326" s="10">
        <f>IF(OR(F326="",G326=""),"",ROUND(F326*(1+G326/30),1))</f>
        <v/>
      </c>
      <c r="J326" s="11" t="n"/>
    </row>
    <row r="327">
      <c r="A327" s="13" t="n"/>
      <c r="B327" s="10">
        <f>IF(A327="","",A327-'Daily Check-In'!$B$4+1)</f>
        <v/>
      </c>
      <c r="C327" s="11" t="n"/>
      <c r="D327" s="11" t="n"/>
      <c r="E327" s="11" t="n"/>
      <c r="F327" s="14" t="n"/>
      <c r="G327" s="14" t="n"/>
      <c r="H327" s="14" t="n"/>
      <c r="I327" s="10">
        <f>IF(OR(F327="",G327=""),"",ROUND(F327*(1+G327/30),1))</f>
        <v/>
      </c>
      <c r="J327" s="11" t="n"/>
    </row>
    <row r="328">
      <c r="A328" s="13" t="n"/>
      <c r="B328" s="10">
        <f>IF(A328="","",A328-'Daily Check-In'!$B$4+1)</f>
        <v/>
      </c>
      <c r="C328" s="11" t="n"/>
      <c r="D328" s="11" t="n"/>
      <c r="E328" s="11" t="n"/>
      <c r="F328" s="14" t="n"/>
      <c r="G328" s="14" t="n"/>
      <c r="H328" s="14" t="n"/>
      <c r="I328" s="10">
        <f>IF(OR(F328="",G328=""),"",ROUND(F328*(1+G328/30),1))</f>
        <v/>
      </c>
      <c r="J328" s="11" t="n"/>
    </row>
    <row r="329">
      <c r="A329" s="13" t="n"/>
      <c r="B329" s="10">
        <f>IF(A329="","",A329-'Daily Check-In'!$B$4+1)</f>
        <v/>
      </c>
      <c r="C329" s="11" t="n"/>
      <c r="D329" s="11" t="n"/>
      <c r="E329" s="11" t="n"/>
      <c r="F329" s="14" t="n"/>
      <c r="G329" s="14" t="n"/>
      <c r="H329" s="14" t="n"/>
      <c r="I329" s="10">
        <f>IF(OR(F329="",G329=""),"",ROUND(F329*(1+G329/30),1))</f>
        <v/>
      </c>
      <c r="J329" s="11" t="n"/>
    </row>
    <row r="330">
      <c r="A330" s="13" t="n"/>
      <c r="B330" s="10">
        <f>IF(A330="","",A330-'Daily Check-In'!$B$4+1)</f>
        <v/>
      </c>
      <c r="C330" s="11" t="n"/>
      <c r="D330" s="11" t="n"/>
      <c r="E330" s="11" t="n"/>
      <c r="F330" s="14" t="n"/>
      <c r="G330" s="14" t="n"/>
      <c r="H330" s="14" t="n"/>
      <c r="I330" s="10">
        <f>IF(OR(F330="",G330=""),"",ROUND(F330*(1+G330/30),1))</f>
        <v/>
      </c>
      <c r="J330" s="11" t="n"/>
    </row>
    <row r="331">
      <c r="A331" s="13" t="n"/>
      <c r="B331" s="10">
        <f>IF(A331="","",A331-'Daily Check-In'!$B$4+1)</f>
        <v/>
      </c>
      <c r="C331" s="11" t="n"/>
      <c r="D331" s="11" t="n"/>
      <c r="E331" s="11" t="n"/>
      <c r="F331" s="14" t="n"/>
      <c r="G331" s="14" t="n"/>
      <c r="H331" s="14" t="n"/>
      <c r="I331" s="10">
        <f>IF(OR(F331="",G331=""),"",ROUND(F331*(1+G331/30),1))</f>
        <v/>
      </c>
      <c r="J331" s="11" t="n"/>
    </row>
    <row r="332">
      <c r="A332" s="13" t="n"/>
      <c r="B332" s="10">
        <f>IF(A332="","",A332-'Daily Check-In'!$B$4+1)</f>
        <v/>
      </c>
      <c r="C332" s="11" t="n"/>
      <c r="D332" s="11" t="n"/>
      <c r="E332" s="11" t="n"/>
      <c r="F332" s="14" t="n"/>
      <c r="G332" s="14" t="n"/>
      <c r="H332" s="14" t="n"/>
      <c r="I332" s="10">
        <f>IF(OR(F332="",G332=""),"",ROUND(F332*(1+G332/30),1))</f>
        <v/>
      </c>
      <c r="J332" s="11" t="n"/>
    </row>
    <row r="333">
      <c r="A333" s="13" t="n"/>
      <c r="B333" s="10">
        <f>IF(A333="","",A333-'Daily Check-In'!$B$4+1)</f>
        <v/>
      </c>
      <c r="C333" s="11" t="n"/>
      <c r="D333" s="11" t="n"/>
      <c r="E333" s="11" t="n"/>
      <c r="F333" s="14" t="n"/>
      <c r="G333" s="14" t="n"/>
      <c r="H333" s="14" t="n"/>
      <c r="I333" s="10">
        <f>IF(OR(F333="",G333=""),"",ROUND(F333*(1+G333/30),1))</f>
        <v/>
      </c>
      <c r="J333" s="11" t="n"/>
    </row>
    <row r="334">
      <c r="A334" s="13" t="n"/>
      <c r="B334" s="10">
        <f>IF(A334="","",A334-'Daily Check-In'!$B$4+1)</f>
        <v/>
      </c>
      <c r="C334" s="11" t="n"/>
      <c r="D334" s="11" t="n"/>
      <c r="E334" s="11" t="n"/>
      <c r="F334" s="14" t="n"/>
      <c r="G334" s="14" t="n"/>
      <c r="H334" s="14" t="n"/>
      <c r="I334" s="10">
        <f>IF(OR(F334="",G334=""),"",ROUND(F334*(1+G334/30),1))</f>
        <v/>
      </c>
      <c r="J334" s="11" t="n"/>
    </row>
    <row r="335">
      <c r="A335" s="13" t="n"/>
      <c r="B335" s="10">
        <f>IF(A335="","",A335-'Daily Check-In'!$B$4+1)</f>
        <v/>
      </c>
      <c r="C335" s="11" t="n"/>
      <c r="D335" s="11" t="n"/>
      <c r="E335" s="11" t="n"/>
      <c r="F335" s="14" t="n"/>
      <c r="G335" s="14" t="n"/>
      <c r="H335" s="14" t="n"/>
      <c r="I335" s="10">
        <f>IF(OR(F335="",G335=""),"",ROUND(F335*(1+G335/30),1))</f>
        <v/>
      </c>
      <c r="J335" s="11" t="n"/>
    </row>
    <row r="336">
      <c r="A336" s="13" t="n"/>
      <c r="B336" s="10">
        <f>IF(A336="","",A336-'Daily Check-In'!$B$4+1)</f>
        <v/>
      </c>
      <c r="C336" s="11" t="n"/>
      <c r="D336" s="11" t="n"/>
      <c r="E336" s="11" t="n"/>
      <c r="F336" s="14" t="n"/>
      <c r="G336" s="14" t="n"/>
      <c r="H336" s="14" t="n"/>
      <c r="I336" s="10">
        <f>IF(OR(F336="",G336=""),"",ROUND(F336*(1+G336/30),1))</f>
        <v/>
      </c>
      <c r="J336" s="11" t="n"/>
    </row>
    <row r="337">
      <c r="A337" s="13" t="n"/>
      <c r="B337" s="10">
        <f>IF(A337="","",A337-'Daily Check-In'!$B$4+1)</f>
        <v/>
      </c>
      <c r="C337" s="11" t="n"/>
      <c r="D337" s="11" t="n"/>
      <c r="E337" s="11" t="n"/>
      <c r="F337" s="14" t="n"/>
      <c r="G337" s="14" t="n"/>
      <c r="H337" s="14" t="n"/>
      <c r="I337" s="10">
        <f>IF(OR(F337="",G337=""),"",ROUND(F337*(1+G337/30),1))</f>
        <v/>
      </c>
      <c r="J337" s="11" t="n"/>
    </row>
    <row r="338">
      <c r="A338" s="13" t="n"/>
      <c r="B338" s="10">
        <f>IF(A338="","",A338-'Daily Check-In'!$B$4+1)</f>
        <v/>
      </c>
      <c r="C338" s="11" t="n"/>
      <c r="D338" s="11" t="n"/>
      <c r="E338" s="11" t="n"/>
      <c r="F338" s="14" t="n"/>
      <c r="G338" s="14" t="n"/>
      <c r="H338" s="14" t="n"/>
      <c r="I338" s="10">
        <f>IF(OR(F338="",G338=""),"",ROUND(F338*(1+G338/30),1))</f>
        <v/>
      </c>
      <c r="J338" s="11" t="n"/>
    </row>
    <row r="339">
      <c r="A339" s="13" t="n"/>
      <c r="B339" s="10">
        <f>IF(A339="","",A339-'Daily Check-In'!$B$4+1)</f>
        <v/>
      </c>
      <c r="C339" s="11" t="n"/>
      <c r="D339" s="11" t="n"/>
      <c r="E339" s="11" t="n"/>
      <c r="F339" s="14" t="n"/>
      <c r="G339" s="14" t="n"/>
      <c r="H339" s="14" t="n"/>
      <c r="I339" s="10">
        <f>IF(OR(F339="",G339=""),"",ROUND(F339*(1+G339/30),1))</f>
        <v/>
      </c>
      <c r="J339" s="11" t="n"/>
    </row>
    <row r="340">
      <c r="A340" s="13" t="n"/>
      <c r="B340" s="10">
        <f>IF(A340="","",A340-'Daily Check-In'!$B$4+1)</f>
        <v/>
      </c>
      <c r="C340" s="11" t="n"/>
      <c r="D340" s="11" t="n"/>
      <c r="E340" s="11" t="n"/>
      <c r="F340" s="14" t="n"/>
      <c r="G340" s="14" t="n"/>
      <c r="H340" s="14" t="n"/>
      <c r="I340" s="10">
        <f>IF(OR(F340="",G340=""),"",ROUND(F340*(1+G340/30),1))</f>
        <v/>
      </c>
      <c r="J340" s="11" t="n"/>
    </row>
    <row r="341">
      <c r="A341" s="13" t="n"/>
      <c r="B341" s="10">
        <f>IF(A341="","",A341-'Daily Check-In'!$B$4+1)</f>
        <v/>
      </c>
      <c r="C341" s="11" t="n"/>
      <c r="D341" s="11" t="n"/>
      <c r="E341" s="11" t="n"/>
      <c r="F341" s="14" t="n"/>
      <c r="G341" s="14" t="n"/>
      <c r="H341" s="14" t="n"/>
      <c r="I341" s="10">
        <f>IF(OR(F341="",G341=""),"",ROUND(F341*(1+G341/30),1))</f>
        <v/>
      </c>
      <c r="J341" s="11" t="n"/>
    </row>
    <row r="342">
      <c r="A342" s="13" t="n"/>
      <c r="B342" s="10">
        <f>IF(A342="","",A342-'Daily Check-In'!$B$4+1)</f>
        <v/>
      </c>
      <c r="C342" s="11" t="n"/>
      <c r="D342" s="11" t="n"/>
      <c r="E342" s="11" t="n"/>
      <c r="F342" s="14" t="n"/>
      <c r="G342" s="14" t="n"/>
      <c r="H342" s="14" t="n"/>
      <c r="I342" s="10">
        <f>IF(OR(F342="",G342=""),"",ROUND(F342*(1+G342/30),1))</f>
        <v/>
      </c>
      <c r="J342" s="11" t="n"/>
    </row>
    <row r="343">
      <c r="A343" s="13" t="n"/>
      <c r="B343" s="10">
        <f>IF(A343="","",A343-'Daily Check-In'!$B$4+1)</f>
        <v/>
      </c>
      <c r="C343" s="11" t="n"/>
      <c r="D343" s="11" t="n"/>
      <c r="E343" s="11" t="n"/>
      <c r="F343" s="14" t="n"/>
      <c r="G343" s="14" t="n"/>
      <c r="H343" s="14" t="n"/>
      <c r="I343" s="10">
        <f>IF(OR(F343="",G343=""),"",ROUND(F343*(1+G343/30),1))</f>
        <v/>
      </c>
      <c r="J343" s="11" t="n"/>
    </row>
    <row r="344">
      <c r="A344" s="13" t="n"/>
      <c r="B344" s="10">
        <f>IF(A344="","",A344-'Daily Check-In'!$B$4+1)</f>
        <v/>
      </c>
      <c r="C344" s="11" t="n"/>
      <c r="D344" s="11" t="n"/>
      <c r="E344" s="11" t="n"/>
      <c r="F344" s="14" t="n"/>
      <c r="G344" s="14" t="n"/>
      <c r="H344" s="14" t="n"/>
      <c r="I344" s="10">
        <f>IF(OR(F344="",G344=""),"",ROUND(F344*(1+G344/30),1))</f>
        <v/>
      </c>
      <c r="J344" s="11" t="n"/>
    </row>
    <row r="345">
      <c r="A345" s="13" t="n"/>
      <c r="B345" s="10">
        <f>IF(A345="","",A345-'Daily Check-In'!$B$4+1)</f>
        <v/>
      </c>
      <c r="C345" s="11" t="n"/>
      <c r="D345" s="11" t="n"/>
      <c r="E345" s="11" t="n"/>
      <c r="F345" s="14" t="n"/>
      <c r="G345" s="14" t="n"/>
      <c r="H345" s="14" t="n"/>
      <c r="I345" s="10">
        <f>IF(OR(F345="",G345=""),"",ROUND(F345*(1+G345/30),1))</f>
        <v/>
      </c>
      <c r="J345" s="11" t="n"/>
    </row>
    <row r="346">
      <c r="A346" s="13" t="n"/>
      <c r="B346" s="10">
        <f>IF(A346="","",A346-'Daily Check-In'!$B$4+1)</f>
        <v/>
      </c>
      <c r="C346" s="11" t="n"/>
      <c r="D346" s="11" t="n"/>
      <c r="E346" s="11" t="n"/>
      <c r="F346" s="14" t="n"/>
      <c r="G346" s="14" t="n"/>
      <c r="H346" s="14" t="n"/>
      <c r="I346" s="10">
        <f>IF(OR(F346="",G346=""),"",ROUND(F346*(1+G346/30),1))</f>
        <v/>
      </c>
      <c r="J346" s="11" t="n"/>
    </row>
    <row r="347">
      <c r="A347" s="13" t="n"/>
      <c r="B347" s="10">
        <f>IF(A347="","",A347-'Daily Check-In'!$B$4+1)</f>
        <v/>
      </c>
      <c r="C347" s="11" t="n"/>
      <c r="D347" s="11" t="n"/>
      <c r="E347" s="11" t="n"/>
      <c r="F347" s="14" t="n"/>
      <c r="G347" s="14" t="n"/>
      <c r="H347" s="14" t="n"/>
      <c r="I347" s="10">
        <f>IF(OR(F347="",G347=""),"",ROUND(F347*(1+G347/30),1))</f>
        <v/>
      </c>
      <c r="J347" s="11" t="n"/>
    </row>
    <row r="348">
      <c r="A348" s="13" t="n"/>
      <c r="B348" s="10">
        <f>IF(A348="","",A348-'Daily Check-In'!$B$4+1)</f>
        <v/>
      </c>
      <c r="C348" s="11" t="n"/>
      <c r="D348" s="11" t="n"/>
      <c r="E348" s="11" t="n"/>
      <c r="F348" s="14" t="n"/>
      <c r="G348" s="14" t="n"/>
      <c r="H348" s="14" t="n"/>
      <c r="I348" s="10">
        <f>IF(OR(F348="",G348=""),"",ROUND(F348*(1+G348/30),1))</f>
        <v/>
      </c>
      <c r="J348" s="11" t="n"/>
    </row>
    <row r="349">
      <c r="A349" s="13" t="n"/>
      <c r="B349" s="10">
        <f>IF(A349="","",A349-'Daily Check-In'!$B$4+1)</f>
        <v/>
      </c>
      <c r="C349" s="11" t="n"/>
      <c r="D349" s="11" t="n"/>
      <c r="E349" s="11" t="n"/>
      <c r="F349" s="14" t="n"/>
      <c r="G349" s="14" t="n"/>
      <c r="H349" s="14" t="n"/>
      <c r="I349" s="10">
        <f>IF(OR(F349="",G349=""),"",ROUND(F349*(1+G349/30),1))</f>
        <v/>
      </c>
      <c r="J349" s="11" t="n"/>
    </row>
    <row r="350">
      <c r="A350" s="13" t="n"/>
      <c r="B350" s="10">
        <f>IF(A350="","",A350-'Daily Check-In'!$B$4+1)</f>
        <v/>
      </c>
      <c r="C350" s="11" t="n"/>
      <c r="D350" s="11" t="n"/>
      <c r="E350" s="11" t="n"/>
      <c r="F350" s="14" t="n"/>
      <c r="G350" s="14" t="n"/>
      <c r="H350" s="14" t="n"/>
      <c r="I350" s="10">
        <f>IF(OR(F350="",G350=""),"",ROUND(F350*(1+G350/30),1))</f>
        <v/>
      </c>
      <c r="J350" s="11" t="n"/>
    </row>
    <row r="351">
      <c r="A351" s="13" t="n"/>
      <c r="B351" s="10">
        <f>IF(A351="","",A351-'Daily Check-In'!$B$4+1)</f>
        <v/>
      </c>
      <c r="C351" s="11" t="n"/>
      <c r="D351" s="11" t="n"/>
      <c r="E351" s="11" t="n"/>
      <c r="F351" s="14" t="n"/>
      <c r="G351" s="14" t="n"/>
      <c r="H351" s="14" t="n"/>
      <c r="I351" s="10">
        <f>IF(OR(F351="",G351=""),"",ROUND(F351*(1+G351/30),1))</f>
        <v/>
      </c>
      <c r="J351" s="11" t="n"/>
    </row>
    <row r="352">
      <c r="A352" s="13" t="n"/>
      <c r="B352" s="10">
        <f>IF(A352="","",A352-'Daily Check-In'!$B$4+1)</f>
        <v/>
      </c>
      <c r="C352" s="11" t="n"/>
      <c r="D352" s="11" t="n"/>
      <c r="E352" s="11" t="n"/>
      <c r="F352" s="14" t="n"/>
      <c r="G352" s="14" t="n"/>
      <c r="H352" s="14" t="n"/>
      <c r="I352" s="10">
        <f>IF(OR(F352="",G352=""),"",ROUND(F352*(1+G352/30),1))</f>
        <v/>
      </c>
      <c r="J352" s="11" t="n"/>
    </row>
    <row r="353">
      <c r="A353" s="13" t="n"/>
      <c r="B353" s="10">
        <f>IF(A353="","",A353-'Daily Check-In'!$B$4+1)</f>
        <v/>
      </c>
      <c r="C353" s="11" t="n"/>
      <c r="D353" s="11" t="n"/>
      <c r="E353" s="11" t="n"/>
      <c r="F353" s="14" t="n"/>
      <c r="G353" s="14" t="n"/>
      <c r="H353" s="14" t="n"/>
      <c r="I353" s="10">
        <f>IF(OR(F353="",G353=""),"",ROUND(F353*(1+G353/30),1))</f>
        <v/>
      </c>
      <c r="J353" s="11" t="n"/>
    </row>
    <row r="354">
      <c r="A354" s="13" t="n"/>
      <c r="B354" s="10">
        <f>IF(A354="","",A354-'Daily Check-In'!$B$4+1)</f>
        <v/>
      </c>
      <c r="C354" s="11" t="n"/>
      <c r="D354" s="11" t="n"/>
      <c r="E354" s="11" t="n"/>
      <c r="F354" s="14" t="n"/>
      <c r="G354" s="14" t="n"/>
      <c r="H354" s="14" t="n"/>
      <c r="I354" s="10">
        <f>IF(OR(F354="",G354=""),"",ROUND(F354*(1+G354/30),1))</f>
        <v/>
      </c>
      <c r="J354" s="11" t="n"/>
    </row>
    <row r="355">
      <c r="A355" s="13" t="n"/>
      <c r="B355" s="10">
        <f>IF(A355="","",A355-'Daily Check-In'!$B$4+1)</f>
        <v/>
      </c>
      <c r="C355" s="11" t="n"/>
      <c r="D355" s="11" t="n"/>
      <c r="E355" s="11" t="n"/>
      <c r="F355" s="14" t="n"/>
      <c r="G355" s="14" t="n"/>
      <c r="H355" s="14" t="n"/>
      <c r="I355" s="10">
        <f>IF(OR(F355="",G355=""),"",ROUND(F355*(1+G355/30),1))</f>
        <v/>
      </c>
      <c r="J355" s="11" t="n"/>
    </row>
    <row r="356">
      <c r="A356" s="13" t="n"/>
      <c r="B356" s="10">
        <f>IF(A356="","",A356-'Daily Check-In'!$B$4+1)</f>
        <v/>
      </c>
      <c r="C356" s="11" t="n"/>
      <c r="D356" s="11" t="n"/>
      <c r="E356" s="11" t="n"/>
      <c r="F356" s="14" t="n"/>
      <c r="G356" s="14" t="n"/>
      <c r="H356" s="14" t="n"/>
      <c r="I356" s="10">
        <f>IF(OR(F356="",G356=""),"",ROUND(F356*(1+G356/30),1))</f>
        <v/>
      </c>
      <c r="J356" s="11" t="n"/>
    </row>
    <row r="357">
      <c r="A357" s="13" t="n"/>
      <c r="B357" s="10">
        <f>IF(A357="","",A357-'Daily Check-In'!$B$4+1)</f>
        <v/>
      </c>
      <c r="C357" s="11" t="n"/>
      <c r="D357" s="11" t="n"/>
      <c r="E357" s="11" t="n"/>
      <c r="F357" s="14" t="n"/>
      <c r="G357" s="14" t="n"/>
      <c r="H357" s="14" t="n"/>
      <c r="I357" s="10">
        <f>IF(OR(F357="",G357=""),"",ROUND(F357*(1+G357/30),1))</f>
        <v/>
      </c>
      <c r="J357" s="11" t="n"/>
    </row>
    <row r="358">
      <c r="A358" s="13" t="n"/>
      <c r="B358" s="10">
        <f>IF(A358="","",A358-'Daily Check-In'!$B$4+1)</f>
        <v/>
      </c>
      <c r="C358" s="11" t="n"/>
      <c r="D358" s="11" t="n"/>
      <c r="E358" s="11" t="n"/>
      <c r="F358" s="14" t="n"/>
      <c r="G358" s="14" t="n"/>
      <c r="H358" s="14" t="n"/>
      <c r="I358" s="10">
        <f>IF(OR(F358="",G358=""),"",ROUND(F358*(1+G358/30),1))</f>
        <v/>
      </c>
      <c r="J358" s="11" t="n"/>
    </row>
    <row r="359">
      <c r="A359" s="13" t="n"/>
      <c r="B359" s="10">
        <f>IF(A359="","",A359-'Daily Check-In'!$B$4+1)</f>
        <v/>
      </c>
      <c r="C359" s="11" t="n"/>
      <c r="D359" s="11" t="n"/>
      <c r="E359" s="11" t="n"/>
      <c r="F359" s="14" t="n"/>
      <c r="G359" s="14" t="n"/>
      <c r="H359" s="14" t="n"/>
      <c r="I359" s="10">
        <f>IF(OR(F359="",G359=""),"",ROUND(F359*(1+G359/30),1))</f>
        <v/>
      </c>
      <c r="J359" s="11" t="n"/>
    </row>
    <row r="360">
      <c r="A360" s="13" t="n"/>
      <c r="B360" s="10">
        <f>IF(A360="","",A360-'Daily Check-In'!$B$4+1)</f>
        <v/>
      </c>
      <c r="C360" s="11" t="n"/>
      <c r="D360" s="11" t="n"/>
      <c r="E360" s="11" t="n"/>
      <c r="F360" s="14" t="n"/>
      <c r="G360" s="14" t="n"/>
      <c r="H360" s="14" t="n"/>
      <c r="I360" s="10">
        <f>IF(OR(F360="",G360=""),"",ROUND(F360*(1+G360/30),1))</f>
        <v/>
      </c>
      <c r="J360" s="11" t="n"/>
    </row>
    <row r="361">
      <c r="A361" s="13" t="n"/>
      <c r="B361" s="10">
        <f>IF(A361="","",A361-'Daily Check-In'!$B$4+1)</f>
        <v/>
      </c>
      <c r="C361" s="11" t="n"/>
      <c r="D361" s="11" t="n"/>
      <c r="E361" s="11" t="n"/>
      <c r="F361" s="14" t="n"/>
      <c r="G361" s="14" t="n"/>
      <c r="H361" s="14" t="n"/>
      <c r="I361" s="10">
        <f>IF(OR(F361="",G361=""),"",ROUND(F361*(1+G361/30),1))</f>
        <v/>
      </c>
      <c r="J361" s="11" t="n"/>
    </row>
    <row r="362">
      <c r="A362" s="13" t="n"/>
      <c r="B362" s="10">
        <f>IF(A362="","",A362-'Daily Check-In'!$B$4+1)</f>
        <v/>
      </c>
      <c r="C362" s="11" t="n"/>
      <c r="D362" s="11" t="n"/>
      <c r="E362" s="11" t="n"/>
      <c r="F362" s="14" t="n"/>
      <c r="G362" s="14" t="n"/>
      <c r="H362" s="14" t="n"/>
      <c r="I362" s="10">
        <f>IF(OR(F362="",G362=""),"",ROUND(F362*(1+G362/30),1))</f>
        <v/>
      </c>
      <c r="J362" s="11" t="n"/>
    </row>
    <row r="363">
      <c r="A363" s="13" t="n"/>
      <c r="B363" s="10">
        <f>IF(A363="","",A363-'Daily Check-In'!$B$4+1)</f>
        <v/>
      </c>
      <c r="C363" s="11" t="n"/>
      <c r="D363" s="11" t="n"/>
      <c r="E363" s="11" t="n"/>
      <c r="F363" s="14" t="n"/>
      <c r="G363" s="14" t="n"/>
      <c r="H363" s="14" t="n"/>
      <c r="I363" s="10">
        <f>IF(OR(F363="",G363=""),"",ROUND(F363*(1+G363/30),1))</f>
        <v/>
      </c>
      <c r="J363" s="11" t="n"/>
    </row>
    <row r="364">
      <c r="A364" s="13" t="n"/>
      <c r="B364" s="10">
        <f>IF(A364="","",A364-'Daily Check-In'!$B$4+1)</f>
        <v/>
      </c>
      <c r="C364" s="11" t="n"/>
      <c r="D364" s="11" t="n"/>
      <c r="E364" s="11" t="n"/>
      <c r="F364" s="14" t="n"/>
      <c r="G364" s="14" t="n"/>
      <c r="H364" s="14" t="n"/>
      <c r="I364" s="10">
        <f>IF(OR(F364="",G364=""),"",ROUND(F364*(1+G364/30),1))</f>
        <v/>
      </c>
      <c r="J364" s="11" t="n"/>
    </row>
    <row r="365">
      <c r="A365" s="13" t="n"/>
      <c r="B365" s="10">
        <f>IF(A365="","",A365-'Daily Check-In'!$B$4+1)</f>
        <v/>
      </c>
      <c r="C365" s="11" t="n"/>
      <c r="D365" s="11" t="n"/>
      <c r="E365" s="11" t="n"/>
      <c r="F365" s="14" t="n"/>
      <c r="G365" s="14" t="n"/>
      <c r="H365" s="14" t="n"/>
      <c r="I365" s="10">
        <f>IF(OR(F365="",G365=""),"",ROUND(F365*(1+G365/30),1))</f>
        <v/>
      </c>
      <c r="J365" s="11" t="n"/>
    </row>
    <row r="366">
      <c r="A366" s="13" t="n"/>
      <c r="B366" s="10">
        <f>IF(A366="","",A366-'Daily Check-In'!$B$4+1)</f>
        <v/>
      </c>
      <c r="C366" s="11" t="n"/>
      <c r="D366" s="11" t="n"/>
      <c r="E366" s="11" t="n"/>
      <c r="F366" s="14" t="n"/>
      <c r="G366" s="14" t="n"/>
      <c r="H366" s="14" t="n"/>
      <c r="I366" s="10">
        <f>IF(OR(F366="",G366=""),"",ROUND(F366*(1+G366/30),1))</f>
        <v/>
      </c>
      <c r="J366" s="11" t="n"/>
    </row>
    <row r="367">
      <c r="A367" s="13" t="n"/>
      <c r="B367" s="10">
        <f>IF(A367="","",A367-'Daily Check-In'!$B$4+1)</f>
        <v/>
      </c>
      <c r="C367" s="11" t="n"/>
      <c r="D367" s="11" t="n"/>
      <c r="E367" s="11" t="n"/>
      <c r="F367" s="14" t="n"/>
      <c r="G367" s="14" t="n"/>
      <c r="H367" s="14" t="n"/>
      <c r="I367" s="10">
        <f>IF(OR(F367="",G367=""),"",ROUND(F367*(1+G367/30),1))</f>
        <v/>
      </c>
      <c r="J367" s="11" t="n"/>
    </row>
    <row r="368">
      <c r="A368" s="13" t="n"/>
      <c r="B368" s="10">
        <f>IF(A368="","",A368-'Daily Check-In'!$B$4+1)</f>
        <v/>
      </c>
      <c r="C368" s="11" t="n"/>
      <c r="D368" s="11" t="n"/>
      <c r="E368" s="11" t="n"/>
      <c r="F368" s="14" t="n"/>
      <c r="G368" s="14" t="n"/>
      <c r="H368" s="14" t="n"/>
      <c r="I368" s="10">
        <f>IF(OR(F368="",G368=""),"",ROUND(F368*(1+G368/30),1))</f>
        <v/>
      </c>
      <c r="J368" s="11" t="n"/>
    </row>
    <row r="369">
      <c r="A369" s="13" t="n"/>
      <c r="B369" s="10">
        <f>IF(A369="","",A369-'Daily Check-In'!$B$4+1)</f>
        <v/>
      </c>
      <c r="C369" s="11" t="n"/>
      <c r="D369" s="11" t="n"/>
      <c r="E369" s="11" t="n"/>
      <c r="F369" s="14" t="n"/>
      <c r="G369" s="14" t="n"/>
      <c r="H369" s="14" t="n"/>
      <c r="I369" s="10">
        <f>IF(OR(F369="",G369=""),"",ROUND(F369*(1+G369/30),1))</f>
        <v/>
      </c>
      <c r="J369" s="11" t="n"/>
    </row>
    <row r="370">
      <c r="A370" s="13" t="n"/>
      <c r="B370" s="10">
        <f>IF(A370="","",A370-'Daily Check-In'!$B$4+1)</f>
        <v/>
      </c>
      <c r="C370" s="11" t="n"/>
      <c r="D370" s="11" t="n"/>
      <c r="E370" s="11" t="n"/>
      <c r="F370" s="14" t="n"/>
      <c r="G370" s="14" t="n"/>
      <c r="H370" s="14" t="n"/>
      <c r="I370" s="10">
        <f>IF(OR(F370="",G370=""),"",ROUND(F370*(1+G370/30),1))</f>
        <v/>
      </c>
      <c r="J370" s="11" t="n"/>
    </row>
    <row r="371">
      <c r="A371" s="13" t="n"/>
      <c r="B371" s="10">
        <f>IF(A371="","",A371-'Daily Check-In'!$B$4+1)</f>
        <v/>
      </c>
      <c r="C371" s="11" t="n"/>
      <c r="D371" s="11" t="n"/>
      <c r="E371" s="11" t="n"/>
      <c r="F371" s="14" t="n"/>
      <c r="G371" s="14" t="n"/>
      <c r="H371" s="14" t="n"/>
      <c r="I371" s="10">
        <f>IF(OR(F371="",G371=""),"",ROUND(F371*(1+G371/30),1))</f>
        <v/>
      </c>
      <c r="J371" s="11" t="n"/>
    </row>
    <row r="372">
      <c r="A372" s="13" t="n"/>
      <c r="B372" s="10">
        <f>IF(A372="","",A372-'Daily Check-In'!$B$4+1)</f>
        <v/>
      </c>
      <c r="C372" s="11" t="n"/>
      <c r="D372" s="11" t="n"/>
      <c r="E372" s="11" t="n"/>
      <c r="F372" s="14" t="n"/>
      <c r="G372" s="14" t="n"/>
      <c r="H372" s="14" t="n"/>
      <c r="I372" s="10">
        <f>IF(OR(F372="",G372=""),"",ROUND(F372*(1+G372/30),1))</f>
        <v/>
      </c>
      <c r="J372" s="11" t="n"/>
    </row>
    <row r="373">
      <c r="A373" s="13" t="n"/>
      <c r="B373" s="10">
        <f>IF(A373="","",A373-'Daily Check-In'!$B$4+1)</f>
        <v/>
      </c>
      <c r="C373" s="11" t="n"/>
      <c r="D373" s="11" t="n"/>
      <c r="E373" s="11" t="n"/>
      <c r="F373" s="14" t="n"/>
      <c r="G373" s="14" t="n"/>
      <c r="H373" s="14" t="n"/>
      <c r="I373" s="10">
        <f>IF(OR(F373="",G373=""),"",ROUND(F373*(1+G373/30),1))</f>
        <v/>
      </c>
      <c r="J373" s="11" t="n"/>
    </row>
    <row r="374">
      <c r="A374" s="13" t="n"/>
      <c r="B374" s="10">
        <f>IF(A374="","",A374-'Daily Check-In'!$B$4+1)</f>
        <v/>
      </c>
      <c r="C374" s="11" t="n"/>
      <c r="D374" s="11" t="n"/>
      <c r="E374" s="11" t="n"/>
      <c r="F374" s="14" t="n"/>
      <c r="G374" s="14" t="n"/>
      <c r="H374" s="14" t="n"/>
      <c r="I374" s="10">
        <f>IF(OR(F374="",G374=""),"",ROUND(F374*(1+G374/30),1))</f>
        <v/>
      </c>
      <c r="J374" s="11" t="n"/>
    </row>
    <row r="375">
      <c r="A375" s="13" t="n"/>
      <c r="B375" s="10">
        <f>IF(A375="","",A375-'Daily Check-In'!$B$4+1)</f>
        <v/>
      </c>
      <c r="C375" s="11" t="n"/>
      <c r="D375" s="11" t="n"/>
      <c r="E375" s="11" t="n"/>
      <c r="F375" s="14" t="n"/>
      <c r="G375" s="14" t="n"/>
      <c r="H375" s="14" t="n"/>
      <c r="I375" s="10">
        <f>IF(OR(F375="",G375=""),"",ROUND(F375*(1+G375/30),1))</f>
        <v/>
      </c>
      <c r="J375" s="11" t="n"/>
    </row>
    <row r="376">
      <c r="A376" s="13" t="n"/>
      <c r="B376" s="10">
        <f>IF(A376="","",A376-'Daily Check-In'!$B$4+1)</f>
        <v/>
      </c>
      <c r="C376" s="11" t="n"/>
      <c r="D376" s="11" t="n"/>
      <c r="E376" s="11" t="n"/>
      <c r="F376" s="14" t="n"/>
      <c r="G376" s="14" t="n"/>
      <c r="H376" s="14" t="n"/>
      <c r="I376" s="10">
        <f>IF(OR(F376="",G376=""),"",ROUND(F376*(1+G376/30),1))</f>
        <v/>
      </c>
      <c r="J376" s="11" t="n"/>
    </row>
    <row r="377">
      <c r="A377" s="13" t="n"/>
      <c r="B377" s="10">
        <f>IF(A377="","",A377-'Daily Check-In'!$B$4+1)</f>
        <v/>
      </c>
      <c r="C377" s="11" t="n"/>
      <c r="D377" s="11" t="n"/>
      <c r="E377" s="11" t="n"/>
      <c r="F377" s="14" t="n"/>
      <c r="G377" s="14" t="n"/>
      <c r="H377" s="14" t="n"/>
      <c r="I377" s="10">
        <f>IF(OR(F377="",G377=""),"",ROUND(F377*(1+G377/30),1))</f>
        <v/>
      </c>
      <c r="J377" s="11" t="n"/>
    </row>
    <row r="378">
      <c r="A378" s="13" t="n"/>
      <c r="B378" s="10">
        <f>IF(A378="","",A378-'Daily Check-In'!$B$4+1)</f>
        <v/>
      </c>
      <c r="C378" s="11" t="n"/>
      <c r="D378" s="11" t="n"/>
      <c r="E378" s="11" t="n"/>
      <c r="F378" s="14" t="n"/>
      <c r="G378" s="14" t="n"/>
      <c r="H378" s="14" t="n"/>
      <c r="I378" s="10">
        <f>IF(OR(F378="",G378=""),"",ROUND(F378*(1+G378/30),1))</f>
        <v/>
      </c>
      <c r="J378" s="11" t="n"/>
    </row>
    <row r="379">
      <c r="A379" s="13" t="n"/>
      <c r="B379" s="10">
        <f>IF(A379="","",A379-'Daily Check-In'!$B$4+1)</f>
        <v/>
      </c>
      <c r="C379" s="11" t="n"/>
      <c r="D379" s="11" t="n"/>
      <c r="E379" s="11" t="n"/>
      <c r="F379" s="14" t="n"/>
      <c r="G379" s="14" t="n"/>
      <c r="H379" s="14" t="n"/>
      <c r="I379" s="10">
        <f>IF(OR(F379="",G379=""),"",ROUND(F379*(1+G379/30),1))</f>
        <v/>
      </c>
      <c r="J379" s="11" t="n"/>
    </row>
    <row r="380">
      <c r="A380" s="13" t="n"/>
      <c r="B380" s="10">
        <f>IF(A380="","",A380-'Daily Check-In'!$B$4+1)</f>
        <v/>
      </c>
      <c r="C380" s="11" t="n"/>
      <c r="D380" s="11" t="n"/>
      <c r="E380" s="11" t="n"/>
      <c r="F380" s="14" t="n"/>
      <c r="G380" s="14" t="n"/>
      <c r="H380" s="14" t="n"/>
      <c r="I380" s="10">
        <f>IF(OR(F380="",G380=""),"",ROUND(F380*(1+G380/30),1))</f>
        <v/>
      </c>
      <c r="J380" s="11" t="n"/>
    </row>
    <row r="381">
      <c r="A381" s="13" t="n"/>
      <c r="B381" s="10">
        <f>IF(A381="","",A381-'Daily Check-In'!$B$4+1)</f>
        <v/>
      </c>
      <c r="C381" s="11" t="n"/>
      <c r="D381" s="11" t="n"/>
      <c r="E381" s="11" t="n"/>
      <c r="F381" s="14" t="n"/>
      <c r="G381" s="14" t="n"/>
      <c r="H381" s="14" t="n"/>
      <c r="I381" s="10">
        <f>IF(OR(F381="",G381=""),"",ROUND(F381*(1+G381/30),1))</f>
        <v/>
      </c>
      <c r="J381" s="11" t="n"/>
    </row>
    <row r="382">
      <c r="A382" s="13" t="n"/>
      <c r="B382" s="10">
        <f>IF(A382="","",A382-'Daily Check-In'!$B$4+1)</f>
        <v/>
      </c>
      <c r="C382" s="11" t="n"/>
      <c r="D382" s="11" t="n"/>
      <c r="E382" s="11" t="n"/>
      <c r="F382" s="14" t="n"/>
      <c r="G382" s="14" t="n"/>
      <c r="H382" s="14" t="n"/>
      <c r="I382" s="10">
        <f>IF(OR(F382="",G382=""),"",ROUND(F382*(1+G382/30),1))</f>
        <v/>
      </c>
      <c r="J382" s="11" t="n"/>
    </row>
    <row r="383">
      <c r="A383" s="13" t="n"/>
      <c r="B383" s="10">
        <f>IF(A383="","",A383-'Daily Check-In'!$B$4+1)</f>
        <v/>
      </c>
      <c r="C383" s="11" t="n"/>
      <c r="D383" s="11" t="n"/>
      <c r="E383" s="11" t="n"/>
      <c r="F383" s="14" t="n"/>
      <c r="G383" s="14" t="n"/>
      <c r="H383" s="14" t="n"/>
      <c r="I383" s="10">
        <f>IF(OR(F383="",G383=""),"",ROUND(F383*(1+G383/30),1))</f>
        <v/>
      </c>
      <c r="J383" s="11" t="n"/>
    </row>
    <row r="384">
      <c r="A384" s="13" t="n"/>
      <c r="B384" s="10">
        <f>IF(A384="","",A384-'Daily Check-In'!$B$4+1)</f>
        <v/>
      </c>
      <c r="C384" s="11" t="n"/>
      <c r="D384" s="11" t="n"/>
      <c r="E384" s="11" t="n"/>
      <c r="F384" s="14" t="n"/>
      <c r="G384" s="14" t="n"/>
      <c r="H384" s="14" t="n"/>
      <c r="I384" s="10">
        <f>IF(OR(F384="",G384=""),"",ROUND(F384*(1+G384/30),1))</f>
        <v/>
      </c>
      <c r="J384" s="11" t="n"/>
    </row>
    <row r="385">
      <c r="A385" s="13" t="n"/>
      <c r="B385" s="10">
        <f>IF(A385="","",A385-'Daily Check-In'!$B$4+1)</f>
        <v/>
      </c>
      <c r="C385" s="11" t="n"/>
      <c r="D385" s="11" t="n"/>
      <c r="E385" s="11" t="n"/>
      <c r="F385" s="14" t="n"/>
      <c r="G385" s="14" t="n"/>
      <c r="H385" s="14" t="n"/>
      <c r="I385" s="10">
        <f>IF(OR(F385="",G385=""),"",ROUND(F385*(1+G385/30),1))</f>
        <v/>
      </c>
      <c r="J385" s="11" t="n"/>
    </row>
    <row r="386">
      <c r="A386" s="13" t="n"/>
      <c r="B386" s="10">
        <f>IF(A386="","",A386-'Daily Check-In'!$B$4+1)</f>
        <v/>
      </c>
      <c r="C386" s="11" t="n"/>
      <c r="D386" s="11" t="n"/>
      <c r="E386" s="11" t="n"/>
      <c r="F386" s="14" t="n"/>
      <c r="G386" s="14" t="n"/>
      <c r="H386" s="14" t="n"/>
      <c r="I386" s="10">
        <f>IF(OR(F386="",G386=""),"",ROUND(F386*(1+G386/30),1))</f>
        <v/>
      </c>
      <c r="J386" s="11" t="n"/>
    </row>
    <row r="387">
      <c r="A387" s="13" t="n"/>
      <c r="B387" s="10">
        <f>IF(A387="","",A387-'Daily Check-In'!$B$4+1)</f>
        <v/>
      </c>
      <c r="C387" s="11" t="n"/>
      <c r="D387" s="11" t="n"/>
      <c r="E387" s="11" t="n"/>
      <c r="F387" s="14" t="n"/>
      <c r="G387" s="14" t="n"/>
      <c r="H387" s="14" t="n"/>
      <c r="I387" s="10">
        <f>IF(OR(F387="",G387=""),"",ROUND(F387*(1+G387/30),1))</f>
        <v/>
      </c>
      <c r="J387" s="11" t="n"/>
    </row>
    <row r="388">
      <c r="A388" s="13" t="n"/>
      <c r="B388" s="10">
        <f>IF(A388="","",A388-'Daily Check-In'!$B$4+1)</f>
        <v/>
      </c>
      <c r="C388" s="11" t="n"/>
      <c r="D388" s="11" t="n"/>
      <c r="E388" s="11" t="n"/>
      <c r="F388" s="14" t="n"/>
      <c r="G388" s="14" t="n"/>
      <c r="H388" s="14" t="n"/>
      <c r="I388" s="10">
        <f>IF(OR(F388="",G388=""),"",ROUND(F388*(1+G388/30),1))</f>
        <v/>
      </c>
      <c r="J388" s="11" t="n"/>
    </row>
    <row r="389">
      <c r="A389" s="13" t="n"/>
      <c r="B389" s="10">
        <f>IF(A389="","",A389-'Daily Check-In'!$B$4+1)</f>
        <v/>
      </c>
      <c r="C389" s="11" t="n"/>
      <c r="D389" s="11" t="n"/>
      <c r="E389" s="11" t="n"/>
      <c r="F389" s="14" t="n"/>
      <c r="G389" s="14" t="n"/>
      <c r="H389" s="14" t="n"/>
      <c r="I389" s="10">
        <f>IF(OR(F389="",G389=""),"",ROUND(F389*(1+G389/30),1))</f>
        <v/>
      </c>
      <c r="J389" s="11" t="n"/>
    </row>
    <row r="390">
      <c r="A390" s="13" t="n"/>
      <c r="B390" s="10">
        <f>IF(A390="","",A390-'Daily Check-In'!$B$4+1)</f>
        <v/>
      </c>
      <c r="C390" s="11" t="n"/>
      <c r="D390" s="11" t="n"/>
      <c r="E390" s="11" t="n"/>
      <c r="F390" s="14" t="n"/>
      <c r="G390" s="14" t="n"/>
      <c r="H390" s="14" t="n"/>
      <c r="I390" s="10">
        <f>IF(OR(F390="",G390=""),"",ROUND(F390*(1+G390/30),1))</f>
        <v/>
      </c>
      <c r="J390" s="11" t="n"/>
    </row>
    <row r="391">
      <c r="A391" s="13" t="n"/>
      <c r="B391" s="10">
        <f>IF(A391="","",A391-'Daily Check-In'!$B$4+1)</f>
        <v/>
      </c>
      <c r="C391" s="11" t="n"/>
      <c r="D391" s="11" t="n"/>
      <c r="E391" s="11" t="n"/>
      <c r="F391" s="14" t="n"/>
      <c r="G391" s="14" t="n"/>
      <c r="H391" s="14" t="n"/>
      <c r="I391" s="10">
        <f>IF(OR(F391="",G391=""),"",ROUND(F391*(1+G391/30),1))</f>
        <v/>
      </c>
      <c r="J391" s="11" t="n"/>
    </row>
    <row r="392">
      <c r="A392" s="13" t="n"/>
      <c r="B392" s="10">
        <f>IF(A392="","",A392-'Daily Check-In'!$B$4+1)</f>
        <v/>
      </c>
      <c r="C392" s="11" t="n"/>
      <c r="D392" s="11" t="n"/>
      <c r="E392" s="11" t="n"/>
      <c r="F392" s="14" t="n"/>
      <c r="G392" s="14" t="n"/>
      <c r="H392" s="14" t="n"/>
      <c r="I392" s="10">
        <f>IF(OR(F392="",G392=""),"",ROUND(F392*(1+G392/30),1))</f>
        <v/>
      </c>
      <c r="J392" s="11" t="n"/>
    </row>
    <row r="393">
      <c r="A393" s="13" t="n"/>
      <c r="B393" s="10">
        <f>IF(A393="","",A393-'Daily Check-In'!$B$4+1)</f>
        <v/>
      </c>
      <c r="C393" s="11" t="n"/>
      <c r="D393" s="11" t="n"/>
      <c r="E393" s="11" t="n"/>
      <c r="F393" s="14" t="n"/>
      <c r="G393" s="14" t="n"/>
      <c r="H393" s="14" t="n"/>
      <c r="I393" s="10">
        <f>IF(OR(F393="",G393=""),"",ROUND(F393*(1+G393/30),1))</f>
        <v/>
      </c>
      <c r="J393" s="11" t="n"/>
    </row>
    <row r="394">
      <c r="A394" s="13" t="n"/>
      <c r="B394" s="10">
        <f>IF(A394="","",A394-'Daily Check-In'!$B$4+1)</f>
        <v/>
      </c>
      <c r="C394" s="11" t="n"/>
      <c r="D394" s="11" t="n"/>
      <c r="E394" s="11" t="n"/>
      <c r="F394" s="14" t="n"/>
      <c r="G394" s="14" t="n"/>
      <c r="H394" s="14" t="n"/>
      <c r="I394" s="10">
        <f>IF(OR(F394="",G394=""),"",ROUND(F394*(1+G394/30),1))</f>
        <v/>
      </c>
      <c r="J394" s="11" t="n"/>
    </row>
    <row r="395">
      <c r="A395" s="13" t="n"/>
      <c r="B395" s="10">
        <f>IF(A395="","",A395-'Daily Check-In'!$B$4+1)</f>
        <v/>
      </c>
      <c r="C395" s="11" t="n"/>
      <c r="D395" s="11" t="n"/>
      <c r="E395" s="11" t="n"/>
      <c r="F395" s="14" t="n"/>
      <c r="G395" s="14" t="n"/>
      <c r="H395" s="14" t="n"/>
      <c r="I395" s="10">
        <f>IF(OR(F395="",G395=""),"",ROUND(F395*(1+G395/30),1))</f>
        <v/>
      </c>
      <c r="J395" s="11" t="n"/>
    </row>
    <row r="396">
      <c r="A396" s="13" t="n"/>
      <c r="B396" s="10">
        <f>IF(A396="","",A396-'Daily Check-In'!$B$4+1)</f>
        <v/>
      </c>
      <c r="C396" s="11" t="n"/>
      <c r="D396" s="11" t="n"/>
      <c r="E396" s="11" t="n"/>
      <c r="F396" s="14" t="n"/>
      <c r="G396" s="14" t="n"/>
      <c r="H396" s="14" t="n"/>
      <c r="I396" s="10">
        <f>IF(OR(F396="",G396=""),"",ROUND(F396*(1+G396/30),1))</f>
        <v/>
      </c>
      <c r="J396" s="11" t="n"/>
    </row>
    <row r="397">
      <c r="A397" s="13" t="n"/>
      <c r="B397" s="10">
        <f>IF(A397="","",A397-'Daily Check-In'!$B$4+1)</f>
        <v/>
      </c>
      <c r="C397" s="11" t="n"/>
      <c r="D397" s="11" t="n"/>
      <c r="E397" s="11" t="n"/>
      <c r="F397" s="14" t="n"/>
      <c r="G397" s="14" t="n"/>
      <c r="H397" s="14" t="n"/>
      <c r="I397" s="10">
        <f>IF(OR(F397="",G397=""),"",ROUND(F397*(1+G397/30),1))</f>
        <v/>
      </c>
      <c r="J397" s="11" t="n"/>
    </row>
    <row r="398">
      <c r="A398" s="13" t="n"/>
      <c r="B398" s="10">
        <f>IF(A398="","",A398-'Daily Check-In'!$B$4+1)</f>
        <v/>
      </c>
      <c r="C398" s="11" t="n"/>
      <c r="D398" s="11" t="n"/>
      <c r="E398" s="11" t="n"/>
      <c r="F398" s="14" t="n"/>
      <c r="G398" s="14" t="n"/>
      <c r="H398" s="14" t="n"/>
      <c r="I398" s="10">
        <f>IF(OR(F398="",G398=""),"",ROUND(F398*(1+G398/30),1))</f>
        <v/>
      </c>
      <c r="J398" s="11" t="n"/>
    </row>
    <row r="399">
      <c r="A399" s="13" t="n"/>
      <c r="B399" s="10">
        <f>IF(A399="","",A399-'Daily Check-In'!$B$4+1)</f>
        <v/>
      </c>
      <c r="C399" s="11" t="n"/>
      <c r="D399" s="11" t="n"/>
      <c r="E399" s="11" t="n"/>
      <c r="F399" s="14" t="n"/>
      <c r="G399" s="14" t="n"/>
      <c r="H399" s="14" t="n"/>
      <c r="I399" s="10">
        <f>IF(OR(F399="",G399=""),"",ROUND(F399*(1+G399/30),1))</f>
        <v/>
      </c>
      <c r="J399" s="11" t="n"/>
    </row>
    <row r="400">
      <c r="A400" s="13" t="n"/>
      <c r="B400" s="10">
        <f>IF(A400="","",A400-'Daily Check-In'!$B$4+1)</f>
        <v/>
      </c>
      <c r="C400" s="11" t="n"/>
      <c r="D400" s="11" t="n"/>
      <c r="E400" s="11" t="n"/>
      <c r="F400" s="14" t="n"/>
      <c r="G400" s="14" t="n"/>
      <c r="H400" s="14" t="n"/>
      <c r="I400" s="10">
        <f>IF(OR(F400="",G400=""),"",ROUND(F400*(1+G400/30),1))</f>
        <v/>
      </c>
      <c r="J400" s="11" t="n"/>
    </row>
    <row r="401">
      <c r="A401" s="13" t="n"/>
      <c r="B401" s="10">
        <f>IF(A401="","",A401-'Daily Check-In'!$B$4+1)</f>
        <v/>
      </c>
      <c r="C401" s="11" t="n"/>
      <c r="D401" s="11" t="n"/>
      <c r="E401" s="11" t="n"/>
      <c r="F401" s="14" t="n"/>
      <c r="G401" s="14" t="n"/>
      <c r="H401" s="14" t="n"/>
      <c r="I401" s="10">
        <f>IF(OR(F401="",G401=""),"",ROUND(F401*(1+G401/30),1))</f>
        <v/>
      </c>
      <c r="J401" s="11" t="n"/>
    </row>
    <row r="402">
      <c r="A402" s="13" t="n"/>
      <c r="B402" s="10">
        <f>IF(A402="","",A402-'Daily Check-In'!$B$4+1)</f>
        <v/>
      </c>
      <c r="C402" s="11" t="n"/>
      <c r="D402" s="11" t="n"/>
      <c r="E402" s="11" t="n"/>
      <c r="F402" s="14" t="n"/>
      <c r="G402" s="14" t="n"/>
      <c r="H402" s="14" t="n"/>
      <c r="I402" s="10">
        <f>IF(OR(F402="",G402=""),"",ROUND(F402*(1+G402/30),1))</f>
        <v/>
      </c>
      <c r="J402" s="11" t="n"/>
    </row>
    <row r="403">
      <c r="A403" s="13" t="n"/>
      <c r="B403" s="10">
        <f>IF(A403="","",A403-'Daily Check-In'!$B$4+1)</f>
        <v/>
      </c>
      <c r="C403" s="11" t="n"/>
      <c r="D403" s="11" t="n"/>
      <c r="E403" s="11" t="n"/>
      <c r="F403" s="14" t="n"/>
      <c r="G403" s="14" t="n"/>
      <c r="H403" s="14" t="n"/>
      <c r="I403" s="10">
        <f>IF(OR(F403="",G403=""),"",ROUND(F403*(1+G403/30),1))</f>
        <v/>
      </c>
      <c r="J403" s="11" t="n"/>
    </row>
    <row r="404">
      <c r="A404" s="13" t="n"/>
      <c r="B404" s="10">
        <f>IF(A404="","",A404-'Daily Check-In'!$B$4+1)</f>
        <v/>
      </c>
      <c r="C404" s="11" t="n"/>
      <c r="D404" s="11" t="n"/>
      <c r="E404" s="11" t="n"/>
      <c r="F404" s="14" t="n"/>
      <c r="G404" s="14" t="n"/>
      <c r="H404" s="14" t="n"/>
      <c r="I404" s="10">
        <f>IF(OR(F404="",G404=""),"",ROUND(F404*(1+G404/30),1))</f>
        <v/>
      </c>
      <c r="J404" s="11" t="n"/>
    </row>
    <row r="405">
      <c r="A405" s="13" t="n"/>
      <c r="B405" s="10">
        <f>IF(A405="","",A405-'Daily Check-In'!$B$4+1)</f>
        <v/>
      </c>
      <c r="C405" s="11" t="n"/>
      <c r="D405" s="11" t="n"/>
      <c r="E405" s="11" t="n"/>
      <c r="F405" s="14" t="n"/>
      <c r="G405" s="14" t="n"/>
      <c r="H405" s="14" t="n"/>
      <c r="I405" s="10">
        <f>IF(OR(F405="",G405=""),"",ROUND(F405*(1+G405/30),1))</f>
        <v/>
      </c>
      <c r="J405" s="11" t="n"/>
    </row>
    <row r="406">
      <c r="A406" s="13" t="n"/>
      <c r="B406" s="10">
        <f>IF(A406="","",A406-'Daily Check-In'!$B$4+1)</f>
        <v/>
      </c>
      <c r="C406" s="11" t="n"/>
      <c r="D406" s="11" t="n"/>
      <c r="E406" s="11" t="n"/>
      <c r="F406" s="14" t="n"/>
      <c r="G406" s="14" t="n"/>
      <c r="H406" s="14" t="n"/>
      <c r="I406" s="10">
        <f>IF(OR(F406="",G406=""),"",ROUND(F406*(1+G406/30),1))</f>
        <v/>
      </c>
      <c r="J406" s="11" t="n"/>
    </row>
    <row r="407">
      <c r="A407" s="13" t="n"/>
      <c r="B407" s="10">
        <f>IF(A407="","",A407-'Daily Check-In'!$B$4+1)</f>
        <v/>
      </c>
      <c r="C407" s="11" t="n"/>
      <c r="D407" s="11" t="n"/>
      <c r="E407" s="11" t="n"/>
      <c r="F407" s="14" t="n"/>
      <c r="G407" s="14" t="n"/>
      <c r="H407" s="14" t="n"/>
      <c r="I407" s="10">
        <f>IF(OR(F407="",G407=""),"",ROUND(F407*(1+G407/30),1))</f>
        <v/>
      </c>
      <c r="J407" s="11" t="n"/>
    </row>
    <row r="408">
      <c r="A408" s="13" t="n"/>
      <c r="B408" s="10">
        <f>IF(A408="","",A408-'Daily Check-In'!$B$4+1)</f>
        <v/>
      </c>
      <c r="C408" s="11" t="n"/>
      <c r="D408" s="11" t="n"/>
      <c r="E408" s="11" t="n"/>
      <c r="F408" s="14" t="n"/>
      <c r="G408" s="14" t="n"/>
      <c r="H408" s="14" t="n"/>
      <c r="I408" s="10">
        <f>IF(OR(F408="",G408=""),"",ROUND(F408*(1+G408/30),1))</f>
        <v/>
      </c>
      <c r="J408" s="11" t="n"/>
    </row>
    <row r="409">
      <c r="A409" s="13" t="n"/>
      <c r="B409" s="10">
        <f>IF(A409="","",A409-'Daily Check-In'!$B$4+1)</f>
        <v/>
      </c>
      <c r="C409" s="11" t="n"/>
      <c r="D409" s="11" t="n"/>
      <c r="E409" s="11" t="n"/>
      <c r="F409" s="14" t="n"/>
      <c r="G409" s="14" t="n"/>
      <c r="H409" s="14" t="n"/>
      <c r="I409" s="10">
        <f>IF(OR(F409="",G409=""),"",ROUND(F409*(1+G409/30),1))</f>
        <v/>
      </c>
      <c r="J409" s="11" t="n"/>
    </row>
    <row r="410">
      <c r="A410" s="13" t="n"/>
      <c r="B410" s="10">
        <f>IF(A410="","",A410-'Daily Check-In'!$B$4+1)</f>
        <v/>
      </c>
      <c r="C410" s="11" t="n"/>
      <c r="D410" s="11" t="n"/>
      <c r="E410" s="11" t="n"/>
      <c r="F410" s="14" t="n"/>
      <c r="G410" s="14" t="n"/>
      <c r="H410" s="14" t="n"/>
      <c r="I410" s="10">
        <f>IF(OR(F410="",G410=""),"",ROUND(F410*(1+G410/30),1))</f>
        <v/>
      </c>
      <c r="J410" s="11" t="n"/>
    </row>
    <row r="411">
      <c r="A411" s="13" t="n"/>
      <c r="B411" s="10">
        <f>IF(A411="","",A411-'Daily Check-In'!$B$4+1)</f>
        <v/>
      </c>
      <c r="C411" s="11" t="n"/>
      <c r="D411" s="11" t="n"/>
      <c r="E411" s="11" t="n"/>
      <c r="F411" s="14" t="n"/>
      <c r="G411" s="14" t="n"/>
      <c r="H411" s="14" t="n"/>
      <c r="I411" s="10">
        <f>IF(OR(F411="",G411=""),"",ROUND(F411*(1+G411/30),1))</f>
        <v/>
      </c>
      <c r="J411" s="11" t="n"/>
    </row>
    <row r="412">
      <c r="A412" s="13" t="n"/>
      <c r="B412" s="10">
        <f>IF(A412="","",A412-'Daily Check-In'!$B$4+1)</f>
        <v/>
      </c>
      <c r="C412" s="11" t="n"/>
      <c r="D412" s="11" t="n"/>
      <c r="E412" s="11" t="n"/>
      <c r="F412" s="14" t="n"/>
      <c r="G412" s="14" t="n"/>
      <c r="H412" s="14" t="n"/>
      <c r="I412" s="10">
        <f>IF(OR(F412="",G412=""),"",ROUND(F412*(1+G412/30),1))</f>
        <v/>
      </c>
      <c r="J412" s="11" t="n"/>
    </row>
    <row r="413">
      <c r="A413" s="13" t="n"/>
      <c r="B413" s="10">
        <f>IF(A413="","",A413-'Daily Check-In'!$B$4+1)</f>
        <v/>
      </c>
      <c r="C413" s="11" t="n"/>
      <c r="D413" s="11" t="n"/>
      <c r="E413" s="11" t="n"/>
      <c r="F413" s="14" t="n"/>
      <c r="G413" s="14" t="n"/>
      <c r="H413" s="14" t="n"/>
      <c r="I413" s="10">
        <f>IF(OR(F413="",G413=""),"",ROUND(F413*(1+G413/30),1))</f>
        <v/>
      </c>
      <c r="J413" s="11" t="n"/>
    </row>
    <row r="414">
      <c r="A414" s="13" t="n"/>
      <c r="B414" s="10">
        <f>IF(A414="","",A414-'Daily Check-In'!$B$4+1)</f>
        <v/>
      </c>
      <c r="C414" s="11" t="n"/>
      <c r="D414" s="11" t="n"/>
      <c r="E414" s="11" t="n"/>
      <c r="F414" s="14" t="n"/>
      <c r="G414" s="14" t="n"/>
      <c r="H414" s="14" t="n"/>
      <c r="I414" s="10">
        <f>IF(OR(F414="",G414=""),"",ROUND(F414*(1+G414/30),1))</f>
        <v/>
      </c>
      <c r="J414" s="11" t="n"/>
    </row>
    <row r="415">
      <c r="A415" s="13" t="n"/>
      <c r="B415" s="10">
        <f>IF(A415="","",A415-'Daily Check-In'!$B$4+1)</f>
        <v/>
      </c>
      <c r="C415" s="11" t="n"/>
      <c r="D415" s="11" t="n"/>
      <c r="E415" s="11" t="n"/>
      <c r="F415" s="14" t="n"/>
      <c r="G415" s="14" t="n"/>
      <c r="H415" s="14" t="n"/>
      <c r="I415" s="10">
        <f>IF(OR(F415="",G415=""),"",ROUND(F415*(1+G415/30),1))</f>
        <v/>
      </c>
      <c r="J415" s="11" t="n"/>
    </row>
    <row r="416">
      <c r="A416" s="13" t="n"/>
      <c r="B416" s="10">
        <f>IF(A416="","",A416-'Daily Check-In'!$B$4+1)</f>
        <v/>
      </c>
      <c r="C416" s="11" t="n"/>
      <c r="D416" s="11" t="n"/>
      <c r="E416" s="11" t="n"/>
      <c r="F416" s="14" t="n"/>
      <c r="G416" s="14" t="n"/>
      <c r="H416" s="14" t="n"/>
      <c r="I416" s="10">
        <f>IF(OR(F416="",G416=""),"",ROUND(F416*(1+G416/30),1))</f>
        <v/>
      </c>
      <c r="J416" s="11" t="n"/>
    </row>
    <row r="417">
      <c r="A417" s="13" t="n"/>
      <c r="B417" s="10">
        <f>IF(A417="","",A417-'Daily Check-In'!$B$4+1)</f>
        <v/>
      </c>
      <c r="C417" s="11" t="n"/>
      <c r="D417" s="11" t="n"/>
      <c r="E417" s="11" t="n"/>
      <c r="F417" s="14" t="n"/>
      <c r="G417" s="14" t="n"/>
      <c r="H417" s="14" t="n"/>
      <c r="I417" s="10">
        <f>IF(OR(F417="",G417=""),"",ROUND(F417*(1+G417/30),1))</f>
        <v/>
      </c>
      <c r="J417" s="11" t="n"/>
    </row>
    <row r="418">
      <c r="A418" s="13" t="n"/>
      <c r="B418" s="10">
        <f>IF(A418="","",A418-'Daily Check-In'!$B$4+1)</f>
        <v/>
      </c>
      <c r="C418" s="11" t="n"/>
      <c r="D418" s="11" t="n"/>
      <c r="E418" s="11" t="n"/>
      <c r="F418" s="14" t="n"/>
      <c r="G418" s="14" t="n"/>
      <c r="H418" s="14" t="n"/>
      <c r="I418" s="10">
        <f>IF(OR(F418="",G418=""),"",ROUND(F418*(1+G418/30),1))</f>
        <v/>
      </c>
      <c r="J418" s="11" t="n"/>
    </row>
    <row r="419">
      <c r="A419" s="13" t="n"/>
      <c r="B419" s="10">
        <f>IF(A419="","",A419-'Daily Check-In'!$B$4+1)</f>
        <v/>
      </c>
      <c r="C419" s="11" t="n"/>
      <c r="D419" s="11" t="n"/>
      <c r="E419" s="11" t="n"/>
      <c r="F419" s="14" t="n"/>
      <c r="G419" s="14" t="n"/>
      <c r="H419" s="14" t="n"/>
      <c r="I419" s="10">
        <f>IF(OR(F419="",G419=""),"",ROUND(F419*(1+G419/30),1))</f>
        <v/>
      </c>
      <c r="J419" s="11" t="n"/>
    </row>
    <row r="420">
      <c r="A420" s="13" t="n"/>
      <c r="B420" s="10">
        <f>IF(A420="","",A420-'Daily Check-In'!$B$4+1)</f>
        <v/>
      </c>
      <c r="C420" s="11" t="n"/>
      <c r="D420" s="11" t="n"/>
      <c r="E420" s="11" t="n"/>
      <c r="F420" s="14" t="n"/>
      <c r="G420" s="14" t="n"/>
      <c r="H420" s="14" t="n"/>
      <c r="I420" s="10">
        <f>IF(OR(F420="",G420=""),"",ROUND(F420*(1+G420/30),1))</f>
        <v/>
      </c>
      <c r="J420" s="11" t="n"/>
    </row>
    <row r="421">
      <c r="A421" s="13" t="n"/>
      <c r="B421" s="10">
        <f>IF(A421="","",A421-'Daily Check-In'!$B$4+1)</f>
        <v/>
      </c>
      <c r="C421" s="11" t="n"/>
      <c r="D421" s="11" t="n"/>
      <c r="E421" s="11" t="n"/>
      <c r="F421" s="14" t="n"/>
      <c r="G421" s="14" t="n"/>
      <c r="H421" s="14" t="n"/>
      <c r="I421" s="10">
        <f>IF(OR(F421="",G421=""),"",ROUND(F421*(1+G421/30),1))</f>
        <v/>
      </c>
      <c r="J421" s="11" t="n"/>
    </row>
    <row r="422">
      <c r="A422" s="13" t="n"/>
      <c r="B422" s="10">
        <f>IF(A422="","",A422-'Daily Check-In'!$B$4+1)</f>
        <v/>
      </c>
      <c r="C422" s="11" t="n"/>
      <c r="D422" s="11" t="n"/>
      <c r="E422" s="11" t="n"/>
      <c r="F422" s="14" t="n"/>
      <c r="G422" s="14" t="n"/>
      <c r="H422" s="14" t="n"/>
      <c r="I422" s="10">
        <f>IF(OR(F422="",G422=""),"",ROUND(F422*(1+G422/30),1))</f>
        <v/>
      </c>
      <c r="J422" s="11" t="n"/>
    </row>
    <row r="423">
      <c r="A423" s="13" t="n"/>
      <c r="B423" s="10">
        <f>IF(A423="","",A423-'Daily Check-In'!$B$4+1)</f>
        <v/>
      </c>
      <c r="C423" s="11" t="n"/>
      <c r="D423" s="11" t="n"/>
      <c r="E423" s="11" t="n"/>
      <c r="F423" s="14" t="n"/>
      <c r="G423" s="14" t="n"/>
      <c r="H423" s="14" t="n"/>
      <c r="I423" s="10">
        <f>IF(OR(F423="",G423=""),"",ROUND(F423*(1+G423/30),1))</f>
        <v/>
      </c>
      <c r="J423" s="11" t="n"/>
    </row>
    <row r="424">
      <c r="A424" s="13" t="n"/>
      <c r="B424" s="10">
        <f>IF(A424="","",A424-'Daily Check-In'!$B$4+1)</f>
        <v/>
      </c>
      <c r="C424" s="11" t="n"/>
      <c r="D424" s="11" t="n"/>
      <c r="E424" s="11" t="n"/>
      <c r="F424" s="14" t="n"/>
      <c r="G424" s="14" t="n"/>
      <c r="H424" s="14" t="n"/>
      <c r="I424" s="10">
        <f>IF(OR(F424="",G424=""),"",ROUND(F424*(1+G424/30),1))</f>
        <v/>
      </c>
      <c r="J424" s="11" t="n"/>
    </row>
  </sheetData>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showDropDown="0" showInputMessage="0" showErrorMessage="0" allowBlank="1" type="list">
      <formula1>=Lists!$D$1:$D$3</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showDropDown="0" showInputMessage="0" showErrorMessage="0" allowBlank="1" type="list">
      <formula1>=Lists!$E$1:$E$8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22"/>
  <sheetViews>
    <sheetView workbookViewId="0">
      <selection activeCell="A1" sqref="A1"/>
    </sheetView>
  </sheetViews>
  <sheetFormatPr baseColWidth="8" defaultRowHeight="15"/>
  <cols>
    <col width="3" customWidth="1" min="1" max="1"/>
    <col width="34" customWidth="1" min="2" max="2"/>
    <col width="16" customWidth="1" min="3" max="3"/>
    <col width="4" customWidth="1" min="4" max="4"/>
    <col width="34" customWidth="1" min="5" max="5"/>
    <col width="16" customWidth="1" min="6" max="6"/>
  </cols>
  <sheetData>
    <row r="1">
      <c r="B1" s="1" t="inlineStr">
        <is>
          <t>DASHBOARD</t>
        </is>
      </c>
    </row>
    <row r="2">
      <c r="B2" s="2" t="inlineStr">
        <is>
          <t>Everything here calculates itself. Nothing on this tab needs typing.</t>
        </is>
      </c>
    </row>
    <row r="4">
      <c r="B4" s="3" t="inlineStr">
        <is>
          <t>SOBRIETY</t>
        </is>
      </c>
      <c r="E4" s="3" t="inlineStr">
        <is>
          <t>TRAINING</t>
        </is>
      </c>
    </row>
    <row r="5">
      <c r="B5" s="15" t="inlineStr">
        <is>
          <t>Current sober day</t>
        </is>
      </c>
      <c r="C5" s="16">
        <f>IFERROR(MAX(0,TODAY()-'Daily Check-In'!$B$4+1),0)</f>
        <v/>
      </c>
      <c r="E5" s="15" t="inlineStr">
        <is>
          <t>Sessions completed</t>
        </is>
      </c>
      <c r="F5" s="16">
        <f>COUNTIF('Daily Check-In'!F7:F106,"Yes")</f>
        <v/>
      </c>
    </row>
    <row r="6">
      <c r="B6" s="15" t="inlineStr">
        <is>
          <t>Days checked in</t>
        </is>
      </c>
      <c r="C6" s="16">
        <f>COUNTIF('Daily Check-In'!E7:E106,"GREEN")+COUNTIF('Daily Check-In'!E7:E106,"AMBER")+COUNTIF('Daily Check-In'!E7:E106,"RED")</f>
        <v/>
      </c>
      <c r="E6" s="15" t="inlineStr">
        <is>
          <t>Red Sessions completed</t>
        </is>
      </c>
      <c r="F6" s="16">
        <f>COUNTIF('Daily Check-In'!F7:F106,"Red Session")</f>
        <v/>
      </c>
    </row>
    <row r="7">
      <c r="B7" s="15" t="inlineStr">
        <is>
          <t>Green days</t>
        </is>
      </c>
      <c r="C7" s="16">
        <f>COUNTIF('Daily Check-In'!E7:E106,"GREEN")</f>
        <v/>
      </c>
      <c r="E7" s="15" t="inlineStr">
        <is>
          <t>Total sessions (both count)</t>
        </is>
      </c>
      <c r="F7" s="16">
        <f>COUNTIF('Daily Check-In'!F7:F106,"Yes")+COUNTIF('Daily Check-In'!F7:F106,"Red Session")</f>
        <v/>
      </c>
    </row>
    <row r="8">
      <c r="B8" s="15" t="inlineStr">
        <is>
          <t>Amber days</t>
        </is>
      </c>
      <c r="C8" s="16">
        <f>COUNTIF('Daily Check-In'!E7:E106,"AMBER")</f>
        <v/>
      </c>
      <c r="E8" s="15" t="inlineStr">
        <is>
          <t>Sets logged</t>
        </is>
      </c>
      <c r="F8" s="16">
        <f>COUNT('Training Log'!F5:F424)</f>
        <v/>
      </c>
    </row>
    <row r="9">
      <c r="B9" s="15" t="inlineStr">
        <is>
          <t>Red days</t>
        </is>
      </c>
      <c r="C9" s="16">
        <f>COUNTIF('Daily Check-In'!E7:E106,"RED")</f>
        <v/>
      </c>
      <c r="E9" s="15" t="inlineStr">
        <is>
          <t>Total volume (weight x reps)</t>
        </is>
      </c>
      <c r="F9" s="17">
        <f>IFERROR(SUMPRODUCT('Training Log'!F5:F424,'Training Log'!G5:G424),0)</f>
        <v/>
      </c>
    </row>
    <row r="10">
      <c r="B10" s="15" t="inlineStr">
        <is>
          <t>Green day rate</t>
        </is>
      </c>
      <c r="C10" s="18">
        <f>IFERROR(COUNTIF('Daily Check-In'!E7:E106,"GREEN")/(COUNTIF('Daily Check-In'!E7:E106,"GREEN")+COUNTIF('Daily Check-In'!E7:E106,"AMBER")+COUNTIF('Daily Check-In'!E7:E106,"RED")),0)</f>
        <v/>
      </c>
      <c r="E10" s="15" t="inlineStr">
        <is>
          <t>Program adherence (of 44)</t>
        </is>
      </c>
      <c r="F10" s="18">
        <f>IFERROR((COUNTIF('Daily Check-In'!F7:F106,"Yes")+COUNTIF('Daily Check-In'!F7:F106,"Red Session"))/44,0)</f>
        <v/>
      </c>
    </row>
    <row r="12">
      <c r="B12" s="3" t="inlineStr">
        <is>
          <t>BEST ESTIMATED 1RM</t>
        </is>
      </c>
      <c r="E12" s="5" t="inlineStr">
        <is>
          <t>Matches any exercise name containing the keyword.</t>
        </is>
      </c>
    </row>
    <row r="13">
      <c r="B13" s="15" t="inlineStr">
        <is>
          <t>Squat</t>
        </is>
      </c>
      <c r="C13" s="19">
        <f>IFERROR(MAX(IF(ISNUMBER(SEARCH("squat",'Training Log'!$E$5:$E$424)),'Training Log'!$I$5:$I$424)),0)</f>
        <v/>
      </c>
    </row>
    <row r="14">
      <c r="B14" s="15" t="inlineStr">
        <is>
          <t>Bench</t>
        </is>
      </c>
      <c r="C14" s="19">
        <f>IFERROR(MAX(IF(ISNUMBER(SEARCH("bench",'Training Log'!$E$5:$E$424)),'Training Log'!$I$5:$I$424)),0)</f>
        <v/>
      </c>
    </row>
    <row r="15">
      <c r="B15" s="15" t="inlineStr">
        <is>
          <t>Deadlift</t>
        </is>
      </c>
      <c r="C15" s="19">
        <f>IFERROR(MAX(IF(ISNUMBER(SEARCH("deadlift",'Training Log'!$E$5:$E$424)),'Training Log'!$I$5:$I$424)),0)</f>
        <v/>
      </c>
    </row>
    <row r="16">
      <c r="B16" s="15" t="inlineStr">
        <is>
          <t>Overhead Press</t>
        </is>
      </c>
      <c r="C16" s="19">
        <f>IFERROR(MAX(IF(ISNUMBER(SEARCH("overhead",'Training Log'!$E$5:$E$424)),'Training Log'!$I$5:$I$424)),0)</f>
        <v/>
      </c>
    </row>
    <row r="17">
      <c r="B17" s="15" t="inlineStr">
        <is>
          <t>Row</t>
        </is>
      </c>
      <c r="C17" s="19">
        <f>IFERROR(MAX(IF(ISNUMBER(SEARCH("row",'Training Log'!$E$5:$E$424)),'Training Log'!$I$5:$I$424)),0)</f>
        <v/>
      </c>
    </row>
    <row r="18">
      <c r="B18" s="15" t="inlineStr">
        <is>
          <t>Pull-Up / Pulldown</t>
        </is>
      </c>
      <c r="C18" s="19">
        <f>IFERROR(MAX(IF(ISNUMBER(SEARCH("pull",'Training Log'!$E$5:$E$424)),'Training Log'!$I$5:$I$424)),0)</f>
        <v/>
      </c>
    </row>
    <row r="20">
      <c r="B20" s="5" t="inlineStr">
        <is>
          <t>These six are array formulas. In Excel 2019 or older, click the cell, press F2 then Ctrl+Shift+Enter. Excel 365, Google Sheets, Numbers and LibreOffice need no extra step.</t>
        </is>
      </c>
    </row>
    <row r="22">
      <c r="B22" s="5" t="inlineStr">
        <is>
          <t>Not medical advice. Alcohol withdrawal can be dangerous — speak to a doctor. SAMHSA National Helpline (US): 1-800-662-4357.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2026-08-08T05:45:59Z</dcterms:created>
  <dcterms:modified xsi:type="dcterms:W3CDTF">2026-08-08T05:45:59Z</dcterms:modified>
</cp:coreProperties>
</file>